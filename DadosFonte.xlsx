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nan\Downloads\Mapa Rota Gerais\"/>
    </mc:Choice>
  </mc:AlternateContent>
  <xr:revisionPtr revIDLastSave="0" documentId="8_{1AF6EAD0-89EF-46B8-9D34-D6F8327AED94}" xr6:coauthVersionLast="47" xr6:coauthVersionMax="47" xr10:uidLastSave="{00000000-0000-0000-0000-000000000000}"/>
  <bookViews>
    <workbookView xWindow="19090" yWindow="-110" windowWidth="38620" windowHeight="21100" xr2:uid="{BF739842-0D88-45D8-8FAF-58C3178199C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2" i="1"/>
</calcChain>
</file>

<file path=xl/sharedStrings.xml><?xml version="1.0" encoding="utf-8"?>
<sst xmlns="http://schemas.openxmlformats.org/spreadsheetml/2006/main" count="620" uniqueCount="122">
  <si>
    <t>116.3ªFAIXA_REV01 | 3ª FAIXA _ BR-116 | KM 0+000 A 1+340 - LE</t>
  </si>
  <si>
    <t>BR-116/MG</t>
  </si>
  <si>
    <t>116.3ªFAIXA_REV01 | 3ª FAIXA _ BR-116 | KM 1+860 A 2+960 - LE</t>
  </si>
  <si>
    <t>116.3ªFAIXA_REV01 | 3ª FAIXA _ BR-116 | KM 5+640 A 6+080 - LD</t>
  </si>
  <si>
    <t>116.3ªFAIXA_REV01 | 3ª FAIXA _ BR-116 | KM 9+480 A 12+000 - LE</t>
  </si>
  <si>
    <t>116.3ªFAIXA_REV01 | 3ª FAIXA _ BR-116 | KM 12+000 A 13+660 - LD</t>
  </si>
  <si>
    <t>116.3ªFAIXA_REV01 | 3ª FAIXA _ BR-116 | KM 14+200 A 16+880 - LD</t>
  </si>
  <si>
    <t>116.3ªFAIXA_REV01 | 3ª FAIXA _ BR-116 | KM 19+160 A 19+500 - LE</t>
  </si>
  <si>
    <t>116.3ªFAIXA_REV01 | 3ª FAIXA _ BR-116 | KM 62+477 A 62+660 - LD</t>
  </si>
  <si>
    <t>116.3ªFAIXA_REV01 | 3ª FAIXA _ BR-116 | KM 63+260 A 65+016 - LD</t>
  </si>
  <si>
    <t>116.3ªFAIXA_REV01 | 3ª FAIXA _ BR-116 | KM 78+120 A 78+340 - LE</t>
  </si>
  <si>
    <t>116.3ªFAIXA_REV01 | 3ª FAIXA _ BR-116 | KM 91+300 A 91+500 - LE</t>
  </si>
  <si>
    <t>116.3ªFAIXA_REV01 | 3ª FAIXA _ BR-116 | KM 96+955 A 97+163 - LE</t>
  </si>
  <si>
    <t>116.3ªFAIXA_REV01 | 3ª FAIXA _ BR-116 | KM 145+680 A 145+800 - LD</t>
  </si>
  <si>
    <t>116.3ªFAIXA_REV01 | 3ª FAIXA _ BR-116 | KM 181+890 A 183+176 - LE</t>
  </si>
  <si>
    <t>116.3ªFAIXA_REV01 | 3ª FAIXA _ BR-116 | KM 184+100 A 184+907 - LE</t>
  </si>
  <si>
    <t>116.3ªFAIXA_REV01 | 3ª FAIXA _ BR-116 | KM 186+480 A 186+887 - LD</t>
  </si>
  <si>
    <t>116.3ªFAIXA_REV01 | 3ª FAIXA _ BR-116 | KM 194+700 A 195+460 - LD</t>
  </si>
  <si>
    <t>116.3ªFAIXA_REV01 | 3ª FAIXA _ BR-116 | KM 196+380 A 197+615 - LD</t>
  </si>
  <si>
    <t>116.3ªFAIXA_REV01 | 3ª FAIXA _ BR-116 | KM 199+510 A 200+170 - LD</t>
  </si>
  <si>
    <t>116.3ªFAIXA_REV01 | 3ª FAIXA _ BR-116 | KM 212+760 A 213+20 - LE</t>
  </si>
  <si>
    <t>116.3ªFAIXA_REV01 | 3ª FAIXA _ BR-116 | KM 213+640 A 215+260 - LE</t>
  </si>
  <si>
    <t>116.3ªFAIXA_REV01 | 3ª FAIXA _ BR-116 | KM 215+800 A 216+400 - LE</t>
  </si>
  <si>
    <t>116.3ªFAIXA_REV01 | 3ª FAIXA _ BR-116 | KM 217+160 A 218+230 - LE</t>
  </si>
  <si>
    <t>116.3ªFAIXA_REV01 | 3ª FAIXA _ BR-116 | KM 225+185 A 225+400 - LD</t>
  </si>
  <si>
    <t>116.3ªFAIXA_REV01 | 3ª FAIXA _ BR-116 | KM 224+840 A 225+030 - LE</t>
  </si>
  <si>
    <t>116.3ªFAIXA_REV01 | 3ª FAIXA _ BR-116 | KM 226+195 A 227+550 - LE</t>
  </si>
  <si>
    <t>116.3ªFAIXA_REV01 | 3ª FAIXA _ BR-116 | KM 229+555 A 232+440 - LE</t>
  </si>
  <si>
    <t>116.3ªFAIXA_REV01 | 3ª FAIXA _ BR-116 | KM 235+043 A 236+000 - LE</t>
  </si>
  <si>
    <t>116.3ªFAIXA_REV01 | 3ª FAIXA _ BR-116 | KM 262+160 A 262+380 - LD</t>
  </si>
  <si>
    <t>116.3ªFAIXA_REV01 | 3ª FAIXA _ BR-116 | KM 264+700 A 265+000 - LD</t>
  </si>
  <si>
    <t>116.3ªFAIXA_REV01 | 3ª FAIXA _ BR-116 | KM 266+280 A 266+570 - LD</t>
  </si>
  <si>
    <t>116.3ªFAIXA_REV01 | 3ª FAIXA _ BR-116 | KM 264+050 A 264+220 - LE</t>
  </si>
  <si>
    <t>116.3ªFAIXA_REV01 | 3ª FAIXA _ BR-116 | KM 264+660 A 266+020 - LE</t>
  </si>
  <si>
    <t>116.3ªFAIXA_REV01 | 3ª FAIXA _ BR-116 | KM 270+140 A 273+952 - LE</t>
  </si>
  <si>
    <t>116.3ªFAIXA_REV01 | 3ª FAIXA _ BR-116 | KM 299+600 A 301+500 - LD</t>
  </si>
  <si>
    <t>116.3ªFAIXA_REV01 | 3ª FAIXA _ BR-116 | KM 295+800 A 297+100 - LE</t>
  </si>
  <si>
    <t>116.3ªFAIXA_REV01 | 3ª FAIXA _ BR-116 | KM 297+600 A 298+600 - LE</t>
  </si>
  <si>
    <t>116.3ªFAIXA_REV01 | 3ª FAIXA _ BR-116 | KM 303+100 A 306+400 - LE</t>
  </si>
  <si>
    <t>116.3ªFAIXA_REV01 | 3ª FAIXA _ BR-116 | KM 349+500 A 351+900 - LD</t>
  </si>
  <si>
    <t>116.3ªFAIXA_REV01 | 3ª FAIXA _ BR-116 | KM 352+100 A 352+500 - LD</t>
  </si>
  <si>
    <t>116.3ªFAIXA_REV01 | 3ª FAIXA _ BR-116 | KM 352+800 A 353+300 - LD</t>
  </si>
  <si>
    <t>116.3ªFAIXA_REV01 | 3ª FAIXA _ BR-116 | KM 353+600 A 354+020 - LD</t>
  </si>
  <si>
    <t>116.3ªFAIXA_REV01 | 3ª FAIXA _ BR-116 | KM 356+820 A 357+220 - LD</t>
  </si>
  <si>
    <t>116.3ªFAIXA_REV01 | 3ª FAIXA _ BR-116 | KM 351+760 A 352+800 - LE</t>
  </si>
  <si>
    <t>116.3ªFAIXA_REV01 | 3ª FAIXA _ BR-116 | KM 352+420 A 352+820 - LE</t>
  </si>
  <si>
    <t>116.3ªFAIXA_REV01 | 3ª FAIXA _ BR-116 | KM 353+200 A 353+600 - LE</t>
  </si>
  <si>
    <t>116.3ªFAIXA_REV01 | 3ª FAIXA _ BR-116 | KM 353+960 A 355+340 - LE</t>
  </si>
  <si>
    <t>116.3ªFAIXA_REV01 | 3ª FAIXA _ BR-116 | KM 358+440 A 359+200 - LE</t>
  </si>
  <si>
    <t>BR-251/MG</t>
  </si>
  <si>
    <t>251.3ªFAIXA | 3ª FAIXA _ BR-251 | KM 200+520 A 203+400 - LD</t>
  </si>
  <si>
    <t>251.3ªFAIXA | 3ª FAIXA _ BR-251 | KM 203+970 A 205+840 - LE</t>
  </si>
  <si>
    <t>251.3ªFAIXA | 3ª FAIXA _ BR-251 | KM 206+560 A 210+240 - LE</t>
  </si>
  <si>
    <t>251.3ªFAIXA | 3ª FAIXA _ BR-251 | KM 212+640 A 214+300 - LD</t>
  </si>
  <si>
    <t>251.3ªFAIXA | 3ª FAIXA _ BR-251 | KM 217+740 A 220+500 - LD</t>
  </si>
  <si>
    <t>251.3ªFAIXA | 3ª FAIXA _ BR-251 | KM 220+060 A 221+780 - LE</t>
  </si>
  <si>
    <t>251.3ªFAIXA | 3ª FAIXA _ BR-251 | KM 221+940 A 224+220 - LD</t>
  </si>
  <si>
    <t>251.3ªFAIXA | 3ª FAIXA _ BR-251 | KM 223+840 A 228+540 - LE</t>
  </si>
  <si>
    <t>251.3ªFAIXA | 3ª FAIXA _ BR-251 | KM 229+900 A 233+080 - LD</t>
  </si>
  <si>
    <t>251.3ªFAIXA | 3ª FAIXA _ BR-251 | KM 233+960 A 235+320 - LE</t>
  </si>
  <si>
    <t>251.3ªFAIXA | 3ª FAIXA _ BR-251 | KM 243+180 A 244+580 - LD</t>
  </si>
  <si>
    <t>251.3ªFAIXA | 3ª FAIXA _ BR-251 | KM 247+200 A 248+900 - LD</t>
  </si>
  <si>
    <t>251.3ªFAIXA | 3ª FAIXA _ BR-251 | KM 248+580 A 250+150 - LE</t>
  </si>
  <si>
    <t>251.3ªFAIXA | 3ª FAIXA _ BR-251 | KM 252+300 A 253+300 - LE</t>
  </si>
  <si>
    <t>251.3ªFAIXA | 3ª FAIXA _ BR-251 | KM 254+340 A 256+410 - LD</t>
  </si>
  <si>
    <t>251.3ªFAIXA | 3ª FAIXA _ BR-251 | KM 257+420 A 258+340 - LE</t>
  </si>
  <si>
    <t>251.3ªFAIXA | 3ª FAIXA _ BR-251 | KM 258+700 A 259+770 - LD</t>
  </si>
  <si>
    <t>251.3ªFAIXA | 3ª FAIXA _ BR-251 | KM 270+610 A 272+300 - LD</t>
  </si>
  <si>
    <t>251.3ªFAIXA | 3ª FAIXA _ BR-251 | KM 271+200 A 276+300 - LE</t>
  </si>
  <si>
    <t>251.3ªFAIXA | 3ª FAIXA _ BR-251 | KM 279+100 A 283+400 - LE</t>
  </si>
  <si>
    <t>251.3ªFAIXA | 3ª FAIXA _ BR-251 | KM 285+400 A 293+600 - LE</t>
  </si>
  <si>
    <t>251.3ªFAIXA | 3ª FAIXA _ BR-251 | KM 294+960 A 297+020 - LE</t>
  </si>
  <si>
    <t>251.3ªFAIXA | 3ª FAIXA _ BR-251 | KM 297+180 A 299+020 - LD</t>
  </si>
  <si>
    <t>251.3ªFAIXA | 3ª FAIXA _ BR-251 | KM 299+020 A 300+160 - LD</t>
  </si>
  <si>
    <t>251.3ªFAIXA | 3ª FAIXA _ BR-251 | KM 301+220 A 302+480 - LE</t>
  </si>
  <si>
    <t>251.3ªFAIXA | 3ª FAIXA _ BR-251 | KM 303+680 A 304+700 - LE</t>
  </si>
  <si>
    <t>251.3ªFAIXA | 3ª FAIXA _ BR-251 | KM 318+100 A 321+080 - LD</t>
  </si>
  <si>
    <t>251.3ªFAIXA | 3ª FAIXA _ BR-251 | KM 322+000 A 326+180 - LE</t>
  </si>
  <si>
    <t>251.3ªFAIXA | 3ª FAIXA _ BR-251 | KM 329+140 A 330+420 - LE</t>
  </si>
  <si>
    <t>251.3ªFAIXA | 3ª FAIXA _ BR-251 | KM 332+960 A 340+020 - LD</t>
  </si>
  <si>
    <t>251.3ªFAIXA | 3ª FAIXA _ BR-251 | KM 339+200 A 345+160 - LE</t>
  </si>
  <si>
    <t>251.3ªFAIXA | 3ª FAIXA _ BR-251 | KM 345+160 A 347+600 - LE</t>
  </si>
  <si>
    <t>251.3ªFAIXA | 3ª FAIXA _ BR-251 | KM 348+880 A 352+670 - LD</t>
  </si>
  <si>
    <t>251.3ªFAIXA | 3ª FAIXA _ BR-251 | KM 352+100 A 353+700 - LE</t>
  </si>
  <si>
    <t>251.3ªFAIXA | 3ª FAIXA _ BR-251 | KM 353+700 A 355+020 - LE</t>
  </si>
  <si>
    <t>251.3ªFAIXA | 3ª FAIXA _ BR-251 | KM 358+700 A 361+300 - LD</t>
  </si>
  <si>
    <t>251.3ªFAIXA | 3ª FAIXA _ BR-251 | KM 377+000 A 378+600 - LD</t>
  </si>
  <si>
    <t>251.3ªFAIXA | 3ª FAIXA _ BR-251 | KM 382+400 A 384+000 - LE</t>
  </si>
  <si>
    <t>251.3ªFAIXA | 3ª FAIXA _ BR-251 | KM 388+900 A 390+500 - LD</t>
  </si>
  <si>
    <t>251.3ªFAIXA | 3ª FAIXA _ BR-251 | KM 390+400 A 392+000 - LE</t>
  </si>
  <si>
    <t>251.3ªFAIXA | 3ª FAIXA _ BR-251 | KM 396+000 A 398+720 - LE</t>
  </si>
  <si>
    <t>251.3ªFAIXA | 3ª FAIXA _ BR-251 | KM 399+900 A 401+440 - LD</t>
  </si>
  <si>
    <t>251.3ªFAIXA | 3ª FAIXA _ BR-251 | KM 404+400 A 406+200 - LD</t>
  </si>
  <si>
    <t>251.3ªFAIXA | 3ª FAIXA _ BR-251 | KM 410+100 A 412+000 - LE</t>
  </si>
  <si>
    <t>251.3ªFAIXA | 3ª FAIXA _ BR-251 | KM 412+100 A 413+600 - LD</t>
  </si>
  <si>
    <t>251.3ªFAIXA | 3ª FAIXA _ BR-251 | KM 422+500 A 424+700 - LE</t>
  </si>
  <si>
    <t>251.3ªFAIXA | 3ª FAIXA _ BR-251 | KM 427+200 A 429+400 - LD</t>
  </si>
  <si>
    <t>251.3ªFAIXA | 3ª FAIXA _ BR-251 | KM 429+100 A 430+800 - LE</t>
  </si>
  <si>
    <t>251.3ªFAIXA | 3ª FAIXA _ BR-251 | KM 430+700 A 437+300 - LD</t>
  </si>
  <si>
    <t>251.3ªFAIXA | 3ª FAIXA _ BR-251 | KM 436+842 A 437+300 - LD</t>
  </si>
  <si>
    <t>251.3ªFAIXA | 3ª FAIXA _ BR-251 | KM 437+200 A 442+700 - LE</t>
  </si>
  <si>
    <t>251.3ªFAIXA | 3ª FAIXA _ BR-251 | KM 445+700 A 450+800 - LD</t>
  </si>
  <si>
    <t>251.3ªFAIXA | 3ª FAIXA _ BR-251 | KM 489+600 A 492+700 - LE</t>
  </si>
  <si>
    <t>AMPLIACAO</t>
  </si>
  <si>
    <t>Obra</t>
  </si>
  <si>
    <t>Descrição</t>
  </si>
  <si>
    <t>Local</t>
  </si>
  <si>
    <t>KM Inicial</t>
  </si>
  <si>
    <t>KM Final</t>
  </si>
  <si>
    <t>Sim</t>
  </si>
  <si>
    <t>Não</t>
  </si>
  <si>
    <t>AnoObraP</t>
  </si>
  <si>
    <t>AnoObraE</t>
  </si>
  <si>
    <t>Incluir</t>
  </si>
  <si>
    <t>Valor</t>
  </si>
  <si>
    <t>TipoObra</t>
  </si>
  <si>
    <t>ID</t>
  </si>
  <si>
    <t>3 Faixa</t>
  </si>
  <si>
    <t>Municipio</t>
  </si>
  <si>
    <t>TeofiloOtoni</t>
  </si>
  <si>
    <t>BR-116/MG-3 Faixa-5,7</t>
  </si>
  <si>
    <t>Extensão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</si>
</sst>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$&quot;\ #,##0.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 vertical="center"/>
    </xf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02FF7-2C7A-49EB-A8C5-B306404AEF7C}">
  <dimension ref="A1:R102"/>
  <sheetViews>
    <sheetView tabSelected="1" workbookViewId="0">
      <selection activeCell="M27" sqref="M27"/>
    </sheetView>
  </sheetViews>
  <sheetFormatPr defaultRowHeight="14.4" x14ac:dyDescent="0.3"/>
  <cols>
    <col min="1" max="1" width="10.88671875" bestFit="1" customWidth="1"/>
    <col min="2" max="3" width="10.88671875" customWidth="1"/>
    <col min="4" max="4" width="22.109375" bestFit="1" customWidth="1"/>
    <col min="5" max="5" width="62" customWidth="1"/>
    <col min="6" max="6" width="10.33203125" bestFit="1" customWidth="1"/>
    <col min="13" max="13" width="16.33203125" bestFit="1" customWidth="1"/>
  </cols>
  <sheetData>
    <row r="1" spans="1:18" x14ac:dyDescent="0.3">
      <c r="A1" s="3" t="s">
        <v>104</v>
      </c>
      <c r="B1" s="3" t="s">
        <v>118</v>
      </c>
      <c r="C1" s="3" t="s">
        <v>115</v>
      </c>
      <c r="D1" s="3" t="s">
        <v>116</v>
      </c>
      <c r="E1" s="3" t="s">
        <v>105</v>
      </c>
      <c r="F1" s="3" t="s">
        <v>106</v>
      </c>
      <c r="G1" s="3" t="s">
        <v>107</v>
      </c>
      <c r="H1" s="3" t="s">
        <v>108</v>
      </c>
      <c r="I1" s="3" t="s">
        <v>121</v>
      </c>
      <c r="J1" s="3" t="s">
        <v>111</v>
      </c>
      <c r="K1" s="3" t="s">
        <v>112</v>
      </c>
      <c r="L1" s="3" t="s">
        <v>113</v>
      </c>
      <c r="M1" s="3" t="s">
        <v>114</v>
      </c>
    </row>
    <row r="2" spans="1:18" x14ac:dyDescent="0.3">
      <c r="A2" t="s">
        <v>103</v>
      </c>
      <c r="B2" t="s">
        <v>119</v>
      </c>
      <c r="C2" t="s">
        <v>117</v>
      </c>
      <c r="D2" t="str">
        <f>F2&amp;"-"&amp;C2&amp;"-"&amp;G2</f>
        <v>BR-116/MG-3 Faixa-0</v>
      </c>
      <c r="E2" t="s">
        <v>0</v>
      </c>
      <c r="F2" t="s">
        <v>1</v>
      </c>
      <c r="G2">
        <v>0</v>
      </c>
      <c r="H2" s="1">
        <v>1.4000000000000001</v>
      </c>
      <c r="I2" s="1">
        <f>H2-G2</f>
        <v>1.4000000000000001</v>
      </c>
      <c r="J2">
        <v>10</v>
      </c>
      <c r="K2">
        <v>10</v>
      </c>
      <c r="L2" t="s">
        <v>109</v>
      </c>
      <c r="M2" s="2">
        <v>3885347.6675319974</v>
      </c>
    </row>
    <row r="3" spans="1:18" x14ac:dyDescent="0.3">
      <c r="A3" t="s">
        <v>103</v>
      </c>
      <c r="B3" t="s">
        <v>119</v>
      </c>
      <c r="C3" t="s">
        <v>117</v>
      </c>
      <c r="D3" t="str">
        <f>F3&amp;"-"&amp;C3&amp;"-"&amp;G3</f>
        <v>BR-116/MG-3 Faixa-1,9</v>
      </c>
      <c r="E3" t="s">
        <v>2</v>
      </c>
      <c r="F3" t="s">
        <v>1</v>
      </c>
      <c r="G3">
        <v>1.9000000000000001</v>
      </c>
      <c r="H3" s="1">
        <v>3</v>
      </c>
      <c r="I3" s="1">
        <f t="shared" ref="I3:I66" si="0">H3-G3</f>
        <v>1.0999999999999999</v>
      </c>
      <c r="J3">
        <v>10</v>
      </c>
      <c r="K3">
        <v>10</v>
      </c>
      <c r="L3" t="s">
        <v>109</v>
      </c>
      <c r="M3" s="2">
        <v>2291242.7090514204</v>
      </c>
    </row>
    <row r="4" spans="1:18" x14ac:dyDescent="0.3">
      <c r="A4" t="s">
        <v>103</v>
      </c>
      <c r="B4" t="s">
        <v>119</v>
      </c>
      <c r="C4" t="s">
        <v>117</v>
      </c>
      <c r="D4" t="str">
        <f t="shared" ref="D4:D66" si="1">F4&amp;"-"&amp;C4&amp;"-"&amp;G4</f>
        <v>BR-116/MG-3 Faixa-5,7</v>
      </c>
      <c r="E4" t="s">
        <v>3</v>
      </c>
      <c r="F4" t="s">
        <v>1</v>
      </c>
      <c r="G4">
        <v>5.6999999999999993</v>
      </c>
      <c r="H4" s="1">
        <v>6.1</v>
      </c>
      <c r="I4" s="1">
        <f t="shared" si="0"/>
        <v>0.40000000000000036</v>
      </c>
      <c r="J4">
        <v>10</v>
      </c>
      <c r="K4">
        <v>10</v>
      </c>
      <c r="L4" t="s">
        <v>109</v>
      </c>
      <c r="M4" s="2">
        <v>1103373.342997385</v>
      </c>
    </row>
    <row r="5" spans="1:18" x14ac:dyDescent="0.3">
      <c r="A5" t="s">
        <v>103</v>
      </c>
      <c r="B5" t="s">
        <v>119</v>
      </c>
      <c r="C5" t="s">
        <v>117</v>
      </c>
      <c r="D5" t="str">
        <f t="shared" si="1"/>
        <v>BR-116/MG-3 Faixa-9,5</v>
      </c>
      <c r="E5" t="s">
        <v>4</v>
      </c>
      <c r="F5" t="s">
        <v>1</v>
      </c>
      <c r="G5">
        <v>9.5</v>
      </c>
      <c r="H5" s="1">
        <v>12</v>
      </c>
      <c r="I5" s="1">
        <f t="shared" si="0"/>
        <v>2.5</v>
      </c>
      <c r="J5">
        <v>10</v>
      </c>
      <c r="K5">
        <v>10</v>
      </c>
      <c r="L5" t="s">
        <v>109</v>
      </c>
      <c r="M5" s="2">
        <v>4691633.9370127078</v>
      </c>
    </row>
    <row r="6" spans="1:18" x14ac:dyDescent="0.3">
      <c r="A6" t="s">
        <v>103</v>
      </c>
      <c r="B6" t="s">
        <v>119</v>
      </c>
      <c r="C6" t="s">
        <v>117</v>
      </c>
      <c r="D6" t="str">
        <f t="shared" si="1"/>
        <v>BR-116/MG-3 Faixa-12</v>
      </c>
      <c r="E6" t="s">
        <v>5</v>
      </c>
      <c r="F6" t="s">
        <v>1</v>
      </c>
      <c r="G6">
        <v>12</v>
      </c>
      <c r="H6" s="1">
        <v>13.7</v>
      </c>
      <c r="I6" s="1">
        <f t="shared" si="0"/>
        <v>1.6999999999999993</v>
      </c>
      <c r="J6">
        <v>10</v>
      </c>
      <c r="K6">
        <v>10</v>
      </c>
      <c r="L6" t="s">
        <v>109</v>
      </c>
      <c r="M6" s="2">
        <v>3046808.4700243236</v>
      </c>
    </row>
    <row r="7" spans="1:18" x14ac:dyDescent="0.3">
      <c r="A7" t="s">
        <v>103</v>
      </c>
      <c r="B7" t="s">
        <v>119</v>
      </c>
      <c r="C7" t="s">
        <v>117</v>
      </c>
      <c r="D7" t="str">
        <f t="shared" si="1"/>
        <v>BR-116/MG-3 Faixa-14,2</v>
      </c>
      <c r="E7" t="s">
        <v>6</v>
      </c>
      <c r="F7" t="s">
        <v>1</v>
      </c>
      <c r="G7">
        <v>14.2</v>
      </c>
      <c r="H7" s="1">
        <v>16.900000000000002</v>
      </c>
      <c r="I7" s="1">
        <f t="shared" si="0"/>
        <v>2.7000000000000028</v>
      </c>
      <c r="J7">
        <v>10</v>
      </c>
      <c r="K7">
        <v>10</v>
      </c>
      <c r="L7" t="s">
        <v>109</v>
      </c>
      <c r="M7" s="2">
        <v>4802460.8997249529</v>
      </c>
    </row>
    <row r="8" spans="1:18" x14ac:dyDescent="0.3">
      <c r="A8" t="s">
        <v>103</v>
      </c>
      <c r="B8" t="s">
        <v>119</v>
      </c>
      <c r="C8" t="s">
        <v>117</v>
      </c>
      <c r="D8" t="str">
        <f t="shared" si="1"/>
        <v>BR-116/MG-3 Faixa-19,2</v>
      </c>
      <c r="E8" t="s">
        <v>7</v>
      </c>
      <c r="F8" t="s">
        <v>1</v>
      </c>
      <c r="G8">
        <v>19.200000000000003</v>
      </c>
      <c r="H8" s="1">
        <v>19.5</v>
      </c>
      <c r="I8" s="1">
        <f t="shared" si="0"/>
        <v>0.29999999999999716</v>
      </c>
      <c r="J8">
        <v>10</v>
      </c>
      <c r="K8">
        <v>10</v>
      </c>
      <c r="L8" t="s">
        <v>109</v>
      </c>
      <c r="M8" s="2">
        <v>959094.66438301431</v>
      </c>
      <c r="R8" t="s">
        <v>120</v>
      </c>
    </row>
    <row r="9" spans="1:18" x14ac:dyDescent="0.3">
      <c r="A9" t="s">
        <v>103</v>
      </c>
      <c r="B9" t="s">
        <v>119</v>
      </c>
      <c r="C9" t="s">
        <v>117</v>
      </c>
      <c r="D9" t="str">
        <f t="shared" si="1"/>
        <v>BR-116/MG-3 Faixa-62,5</v>
      </c>
      <c r="E9" t="s">
        <v>8</v>
      </c>
      <c r="F9" t="s">
        <v>1</v>
      </c>
      <c r="G9">
        <v>62.5</v>
      </c>
      <c r="H9" s="1">
        <v>62.7</v>
      </c>
      <c r="I9" s="1">
        <f t="shared" si="0"/>
        <v>0.20000000000000284</v>
      </c>
      <c r="J9">
        <v>9</v>
      </c>
      <c r="K9">
        <v>9</v>
      </c>
      <c r="L9" t="s">
        <v>109</v>
      </c>
      <c r="M9" s="2">
        <v>771333.98243280617</v>
      </c>
    </row>
    <row r="10" spans="1:18" x14ac:dyDescent="0.3">
      <c r="A10" t="s">
        <v>103</v>
      </c>
      <c r="B10" t="s">
        <v>119</v>
      </c>
      <c r="C10" t="s">
        <v>117</v>
      </c>
      <c r="D10" t="str">
        <f t="shared" si="1"/>
        <v>BR-116/MG-3 Faixa-63,3</v>
      </c>
      <c r="E10" t="s">
        <v>9</v>
      </c>
      <c r="F10" t="s">
        <v>1</v>
      </c>
      <c r="G10">
        <v>63.300000000000004</v>
      </c>
      <c r="H10" s="1">
        <v>65.099999999999994</v>
      </c>
      <c r="I10" s="1">
        <f t="shared" si="0"/>
        <v>1.7999999999999901</v>
      </c>
      <c r="J10">
        <v>9</v>
      </c>
      <c r="K10">
        <v>9</v>
      </c>
      <c r="L10" t="s">
        <v>109</v>
      </c>
      <c r="M10" s="2">
        <v>3426714.8947917577</v>
      </c>
    </row>
    <row r="11" spans="1:18" x14ac:dyDescent="0.3">
      <c r="A11" t="s">
        <v>103</v>
      </c>
      <c r="B11" t="s">
        <v>119</v>
      </c>
      <c r="C11" t="s">
        <v>117</v>
      </c>
      <c r="D11" t="str">
        <f t="shared" si="1"/>
        <v>BR-116/MG-3 Faixa-78,2</v>
      </c>
      <c r="E11" t="s">
        <v>10</v>
      </c>
      <c r="F11" t="s">
        <v>1</v>
      </c>
      <c r="G11">
        <v>78.199999999999989</v>
      </c>
      <c r="H11" s="1">
        <v>78.399999999999991</v>
      </c>
      <c r="I11" s="1">
        <f t="shared" si="0"/>
        <v>0.20000000000000284</v>
      </c>
      <c r="J11">
        <v>9</v>
      </c>
      <c r="K11">
        <v>9</v>
      </c>
      <c r="L11" t="s">
        <v>109</v>
      </c>
      <c r="M11" s="2">
        <v>566153.27636070806</v>
      </c>
    </row>
    <row r="12" spans="1:18" x14ac:dyDescent="0.3">
      <c r="A12" t="s">
        <v>103</v>
      </c>
      <c r="B12" t="s">
        <v>119</v>
      </c>
      <c r="C12" t="s">
        <v>117</v>
      </c>
      <c r="D12" t="str">
        <f t="shared" si="1"/>
        <v>BR-116/MG-3 Faixa-91,3</v>
      </c>
      <c r="E12" t="s">
        <v>11</v>
      </c>
      <c r="F12" t="s">
        <v>1</v>
      </c>
      <c r="G12">
        <v>91.3</v>
      </c>
      <c r="H12" s="1">
        <v>91.5</v>
      </c>
      <c r="I12" s="1">
        <f t="shared" si="0"/>
        <v>0.20000000000000284</v>
      </c>
      <c r="J12">
        <v>9</v>
      </c>
      <c r="K12">
        <v>9</v>
      </c>
      <c r="L12" t="s">
        <v>109</v>
      </c>
      <c r="M12" s="2">
        <v>514167.85789588018</v>
      </c>
    </row>
    <row r="13" spans="1:18" x14ac:dyDescent="0.3">
      <c r="A13" t="s">
        <v>103</v>
      </c>
      <c r="B13" t="s">
        <v>119</v>
      </c>
      <c r="C13" t="s">
        <v>117</v>
      </c>
      <c r="D13" t="str">
        <f t="shared" si="1"/>
        <v>BR-116/MG-3 Faixa-97</v>
      </c>
      <c r="E13" t="s">
        <v>12</v>
      </c>
      <c r="F13" t="s">
        <v>1</v>
      </c>
      <c r="G13">
        <v>97</v>
      </c>
      <c r="H13" s="1">
        <v>97.199999999999989</v>
      </c>
      <c r="I13" s="1">
        <f t="shared" si="0"/>
        <v>0.19999999999998863</v>
      </c>
      <c r="J13">
        <v>9</v>
      </c>
      <c r="K13">
        <v>9</v>
      </c>
      <c r="L13" t="s">
        <v>109</v>
      </c>
      <c r="M13" s="2">
        <v>525363.71758241113</v>
      </c>
    </row>
    <row r="14" spans="1:18" x14ac:dyDescent="0.3">
      <c r="A14" t="s">
        <v>103</v>
      </c>
      <c r="B14" t="s">
        <v>119</v>
      </c>
      <c r="C14" t="s">
        <v>117</v>
      </c>
      <c r="D14" t="str">
        <f t="shared" si="1"/>
        <v>BR-116/MG-3 Faixa-145,7</v>
      </c>
      <c r="E14" t="s">
        <v>13</v>
      </c>
      <c r="F14" t="s">
        <v>1</v>
      </c>
      <c r="G14">
        <v>145.69999999999999</v>
      </c>
      <c r="H14" s="1">
        <v>145.80000000000001</v>
      </c>
      <c r="I14" s="1">
        <f t="shared" si="0"/>
        <v>0.10000000000002274</v>
      </c>
      <c r="J14">
        <v>8</v>
      </c>
      <c r="K14">
        <v>8</v>
      </c>
      <c r="L14" t="s">
        <v>109</v>
      </c>
      <c r="M14" s="2">
        <v>278602.72822416801</v>
      </c>
    </row>
    <row r="15" spans="1:18" x14ac:dyDescent="0.3">
      <c r="A15" t="s">
        <v>103</v>
      </c>
      <c r="B15" t="s">
        <v>119</v>
      </c>
      <c r="C15" t="s">
        <v>117</v>
      </c>
      <c r="D15" t="str">
        <f t="shared" si="1"/>
        <v>BR-116/MG-3 Faixa-181,9</v>
      </c>
      <c r="E15" t="s">
        <v>14</v>
      </c>
      <c r="F15" t="s">
        <v>1</v>
      </c>
      <c r="G15">
        <v>181.9</v>
      </c>
      <c r="H15" s="1">
        <v>183.2</v>
      </c>
      <c r="I15" s="1">
        <f t="shared" si="0"/>
        <v>1.2999999999999829</v>
      </c>
      <c r="J15">
        <v>8</v>
      </c>
      <c r="K15">
        <v>8</v>
      </c>
      <c r="L15" t="s">
        <v>109</v>
      </c>
      <c r="M15" s="2">
        <v>1884773.7974415408</v>
      </c>
    </row>
    <row r="16" spans="1:18" x14ac:dyDescent="0.3">
      <c r="A16" t="s">
        <v>103</v>
      </c>
      <c r="B16" t="s">
        <v>119</v>
      </c>
      <c r="C16" t="s">
        <v>117</v>
      </c>
      <c r="D16" t="str">
        <f t="shared" si="1"/>
        <v>BR-116/MG-3 Faixa-184,1</v>
      </c>
      <c r="E16" t="s">
        <v>15</v>
      </c>
      <c r="F16" t="s">
        <v>1</v>
      </c>
      <c r="G16">
        <v>184.1</v>
      </c>
      <c r="H16" s="1">
        <v>185</v>
      </c>
      <c r="I16" s="1">
        <f t="shared" si="0"/>
        <v>0.90000000000000568</v>
      </c>
      <c r="J16">
        <v>8</v>
      </c>
      <c r="K16">
        <v>8</v>
      </c>
      <c r="L16" t="s">
        <v>109</v>
      </c>
      <c r="M16" s="2">
        <v>1427067.3659537598</v>
      </c>
    </row>
    <row r="17" spans="1:13" x14ac:dyDescent="0.3">
      <c r="A17" t="s">
        <v>103</v>
      </c>
      <c r="B17" t="s">
        <v>119</v>
      </c>
      <c r="C17" t="s">
        <v>117</v>
      </c>
      <c r="D17" t="str">
        <f t="shared" si="1"/>
        <v>BR-116/MG-3 Faixa-186,5</v>
      </c>
      <c r="E17" t="s">
        <v>16</v>
      </c>
      <c r="F17" t="s">
        <v>1</v>
      </c>
      <c r="G17">
        <v>186.5</v>
      </c>
      <c r="H17" s="1">
        <v>186.9</v>
      </c>
      <c r="I17" s="1">
        <f t="shared" si="0"/>
        <v>0.40000000000000568</v>
      </c>
      <c r="J17">
        <v>7</v>
      </c>
      <c r="K17">
        <v>7</v>
      </c>
      <c r="L17" t="s">
        <v>109</v>
      </c>
      <c r="M17" s="2">
        <v>903657.37516919954</v>
      </c>
    </row>
    <row r="18" spans="1:13" x14ac:dyDescent="0.3">
      <c r="A18" t="s">
        <v>103</v>
      </c>
      <c r="B18" t="s">
        <v>119</v>
      </c>
      <c r="C18" t="s">
        <v>117</v>
      </c>
      <c r="D18" t="str">
        <f t="shared" si="1"/>
        <v>BR-116/MG-3 Faixa-194,7</v>
      </c>
      <c r="E18" t="s">
        <v>17</v>
      </c>
      <c r="F18" t="s">
        <v>1</v>
      </c>
      <c r="G18">
        <v>194.7</v>
      </c>
      <c r="H18" s="1">
        <v>195.5</v>
      </c>
      <c r="I18" s="1">
        <f t="shared" si="0"/>
        <v>0.80000000000001137</v>
      </c>
      <c r="J18">
        <v>7</v>
      </c>
      <c r="K18">
        <v>7</v>
      </c>
      <c r="L18" t="s">
        <v>109</v>
      </c>
      <c r="M18" s="2">
        <v>1476335.8081310641</v>
      </c>
    </row>
    <row r="19" spans="1:13" x14ac:dyDescent="0.3">
      <c r="A19" t="s">
        <v>103</v>
      </c>
      <c r="B19" t="s">
        <v>119</v>
      </c>
      <c r="C19" t="s">
        <v>117</v>
      </c>
      <c r="D19" t="str">
        <f t="shared" si="1"/>
        <v>BR-116/MG-3 Faixa-196,4</v>
      </c>
      <c r="E19" t="s">
        <v>18</v>
      </c>
      <c r="F19" t="s">
        <v>1</v>
      </c>
      <c r="G19">
        <v>196.4</v>
      </c>
      <c r="H19" s="1">
        <v>197.7</v>
      </c>
      <c r="I19" s="1">
        <f t="shared" si="0"/>
        <v>1.2999999999999829</v>
      </c>
      <c r="J19">
        <v>7</v>
      </c>
      <c r="K19">
        <v>7</v>
      </c>
      <c r="L19" t="s">
        <v>109</v>
      </c>
      <c r="M19" s="2">
        <v>2425209.2947455551</v>
      </c>
    </row>
    <row r="20" spans="1:13" x14ac:dyDescent="0.3">
      <c r="A20" t="s">
        <v>103</v>
      </c>
      <c r="B20" t="s">
        <v>119</v>
      </c>
      <c r="C20" t="s">
        <v>117</v>
      </c>
      <c r="D20" t="str">
        <f t="shared" si="1"/>
        <v>BR-116/MG-3 Faixa-199,6</v>
      </c>
      <c r="E20" t="s">
        <v>19</v>
      </c>
      <c r="F20" t="s">
        <v>1</v>
      </c>
      <c r="G20">
        <v>199.6</v>
      </c>
      <c r="H20" s="1">
        <v>200.2</v>
      </c>
      <c r="I20" s="1">
        <f t="shared" si="0"/>
        <v>0.59999999999999432</v>
      </c>
      <c r="J20">
        <v>7</v>
      </c>
      <c r="K20">
        <v>7</v>
      </c>
      <c r="L20" t="s">
        <v>109</v>
      </c>
      <c r="M20" s="2">
        <v>1905265.9209489003</v>
      </c>
    </row>
    <row r="21" spans="1:13" x14ac:dyDescent="0.3">
      <c r="A21" t="s">
        <v>103</v>
      </c>
      <c r="B21" t="s">
        <v>119</v>
      </c>
      <c r="C21" t="s">
        <v>117</v>
      </c>
      <c r="D21" t="str">
        <f t="shared" si="1"/>
        <v>BR-116/MG-3 Faixa-212,8</v>
      </c>
      <c r="E21" t="s">
        <v>20</v>
      </c>
      <c r="F21" t="s">
        <v>1</v>
      </c>
      <c r="G21">
        <v>212.79999999999998</v>
      </c>
      <c r="H21" s="1">
        <v>213.2</v>
      </c>
      <c r="I21" s="1">
        <f t="shared" si="0"/>
        <v>0.40000000000000568</v>
      </c>
      <c r="J21">
        <v>7</v>
      </c>
      <c r="K21">
        <v>7</v>
      </c>
      <c r="L21" t="s">
        <v>109</v>
      </c>
      <c r="M21" s="2">
        <v>1929126.7791236131</v>
      </c>
    </row>
    <row r="22" spans="1:13" x14ac:dyDescent="0.3">
      <c r="A22" t="s">
        <v>103</v>
      </c>
      <c r="B22" t="s">
        <v>119</v>
      </c>
      <c r="C22" t="s">
        <v>117</v>
      </c>
      <c r="D22" t="str">
        <f t="shared" si="1"/>
        <v>BR-116/MG-3 Faixa-213,7</v>
      </c>
      <c r="E22" t="s">
        <v>21</v>
      </c>
      <c r="F22" t="s">
        <v>1</v>
      </c>
      <c r="G22">
        <v>213.7</v>
      </c>
      <c r="H22" s="1">
        <v>215.29999999999998</v>
      </c>
      <c r="I22" s="1">
        <f t="shared" si="0"/>
        <v>1.5999999999999943</v>
      </c>
      <c r="J22">
        <v>7</v>
      </c>
      <c r="K22">
        <v>7</v>
      </c>
      <c r="L22" t="s">
        <v>109</v>
      </c>
      <c r="M22" s="2">
        <v>3687021.1219882714</v>
      </c>
    </row>
    <row r="23" spans="1:13" x14ac:dyDescent="0.3">
      <c r="A23" t="s">
        <v>103</v>
      </c>
      <c r="B23" t="s">
        <v>119</v>
      </c>
      <c r="C23" t="s">
        <v>117</v>
      </c>
      <c r="D23" t="str">
        <f t="shared" si="1"/>
        <v>BR-116/MG-3 Faixa-215,8</v>
      </c>
      <c r="E23" t="s">
        <v>22</v>
      </c>
      <c r="F23" t="s">
        <v>1</v>
      </c>
      <c r="G23">
        <v>215.8</v>
      </c>
      <c r="H23" s="1">
        <v>216.4</v>
      </c>
      <c r="I23" s="1">
        <f t="shared" si="0"/>
        <v>0.59999999999999432</v>
      </c>
      <c r="J23">
        <v>7</v>
      </c>
      <c r="K23">
        <v>7</v>
      </c>
      <c r="L23" t="s">
        <v>109</v>
      </c>
      <c r="M23" s="2">
        <v>1419259.0548818335</v>
      </c>
    </row>
    <row r="24" spans="1:13" x14ac:dyDescent="0.3">
      <c r="A24" t="s">
        <v>103</v>
      </c>
      <c r="B24" t="s">
        <v>119</v>
      </c>
      <c r="C24" t="s">
        <v>117</v>
      </c>
      <c r="D24" t="str">
        <f t="shared" si="1"/>
        <v>BR-116/MG-3 Faixa-217,2</v>
      </c>
      <c r="E24" t="s">
        <v>23</v>
      </c>
      <c r="F24" t="s">
        <v>1</v>
      </c>
      <c r="G24">
        <v>217.2</v>
      </c>
      <c r="H24" s="1">
        <v>218.29999999999998</v>
      </c>
      <c r="I24" s="1">
        <f t="shared" si="0"/>
        <v>1.0999999999999943</v>
      </c>
      <c r="J24">
        <v>7</v>
      </c>
      <c r="K24">
        <v>7</v>
      </c>
      <c r="L24" t="s">
        <v>109</v>
      </c>
      <c r="M24" s="4">
        <v>2169184.2446653908</v>
      </c>
    </row>
    <row r="25" spans="1:13" x14ac:dyDescent="0.3">
      <c r="A25" t="s">
        <v>103</v>
      </c>
      <c r="B25" t="s">
        <v>119</v>
      </c>
      <c r="C25" t="s">
        <v>117</v>
      </c>
      <c r="D25" t="str">
        <f t="shared" si="1"/>
        <v>BR-116/MG-3 Faixa-225,2</v>
      </c>
      <c r="E25" t="s">
        <v>24</v>
      </c>
      <c r="F25" t="s">
        <v>1</v>
      </c>
      <c r="G25">
        <v>225.2</v>
      </c>
      <c r="H25" s="1">
        <v>225.4</v>
      </c>
      <c r="I25" s="1">
        <f t="shared" si="0"/>
        <v>0.20000000000001705</v>
      </c>
      <c r="J25">
        <v>7</v>
      </c>
      <c r="K25">
        <v>7</v>
      </c>
      <c r="L25" t="s">
        <v>109</v>
      </c>
      <c r="M25" s="2">
        <v>817386.32028103492</v>
      </c>
    </row>
    <row r="26" spans="1:13" x14ac:dyDescent="0.3">
      <c r="A26" t="s">
        <v>103</v>
      </c>
      <c r="B26" t="s">
        <v>119</v>
      </c>
      <c r="C26" t="s">
        <v>117</v>
      </c>
      <c r="D26" t="str">
        <f t="shared" si="1"/>
        <v>BR-116/MG-3 Faixa-224,9</v>
      </c>
      <c r="E26" t="s">
        <v>25</v>
      </c>
      <c r="F26" t="s">
        <v>1</v>
      </c>
      <c r="G26">
        <v>224.9</v>
      </c>
      <c r="H26" s="1">
        <v>225.1</v>
      </c>
      <c r="I26" s="1">
        <f t="shared" si="0"/>
        <v>0.19999999999998863</v>
      </c>
      <c r="J26">
        <v>7</v>
      </c>
      <c r="K26">
        <v>7</v>
      </c>
      <c r="L26" t="s">
        <v>109</v>
      </c>
      <c r="M26" s="2">
        <v>769668.87221464352</v>
      </c>
    </row>
    <row r="27" spans="1:13" x14ac:dyDescent="0.3">
      <c r="A27" t="s">
        <v>103</v>
      </c>
      <c r="B27" t="s">
        <v>119</v>
      </c>
      <c r="C27" t="s">
        <v>117</v>
      </c>
      <c r="D27" t="str">
        <f t="shared" si="1"/>
        <v>BR-116/MG-3 Faixa-226,2</v>
      </c>
      <c r="E27" t="s">
        <v>26</v>
      </c>
      <c r="F27" t="s">
        <v>1</v>
      </c>
      <c r="G27">
        <v>226.2</v>
      </c>
      <c r="H27" s="1">
        <v>227.6</v>
      </c>
      <c r="I27" s="1">
        <f t="shared" si="0"/>
        <v>1.4000000000000057</v>
      </c>
      <c r="J27">
        <v>7</v>
      </c>
      <c r="K27">
        <v>7</v>
      </c>
      <c r="L27" t="s">
        <v>109</v>
      </c>
      <c r="M27" s="2">
        <v>2464524.5410503675</v>
      </c>
    </row>
    <row r="28" spans="1:13" x14ac:dyDescent="0.3">
      <c r="A28" t="s">
        <v>103</v>
      </c>
      <c r="B28" t="s">
        <v>119</v>
      </c>
      <c r="C28" t="s">
        <v>117</v>
      </c>
      <c r="D28" t="str">
        <f t="shared" si="1"/>
        <v>BR-116/MG-3 Faixa-229,6</v>
      </c>
      <c r="E28" t="s">
        <v>27</v>
      </c>
      <c r="F28" t="s">
        <v>1</v>
      </c>
      <c r="G28">
        <v>229.6</v>
      </c>
      <c r="H28" s="1">
        <v>232.5</v>
      </c>
      <c r="I28" s="1">
        <f t="shared" si="0"/>
        <v>2.9000000000000057</v>
      </c>
      <c r="J28">
        <v>7</v>
      </c>
      <c r="K28">
        <v>7</v>
      </c>
      <c r="L28" t="s">
        <v>109</v>
      </c>
      <c r="M28" s="2">
        <v>4824147.1215875773</v>
      </c>
    </row>
    <row r="29" spans="1:13" x14ac:dyDescent="0.3">
      <c r="A29" t="s">
        <v>103</v>
      </c>
      <c r="B29" t="s">
        <v>119</v>
      </c>
      <c r="C29" t="s">
        <v>117</v>
      </c>
      <c r="D29" t="str">
        <f t="shared" si="1"/>
        <v>BR-116/MG-3 Faixa-235,1</v>
      </c>
      <c r="E29" t="s">
        <v>28</v>
      </c>
      <c r="F29" t="s">
        <v>1</v>
      </c>
      <c r="G29">
        <v>235.1</v>
      </c>
      <c r="H29" s="1">
        <v>236</v>
      </c>
      <c r="I29" s="1">
        <f t="shared" si="0"/>
        <v>0.90000000000000568</v>
      </c>
      <c r="J29">
        <v>7</v>
      </c>
      <c r="K29">
        <v>7</v>
      </c>
      <c r="L29" t="s">
        <v>109</v>
      </c>
      <c r="M29" s="2">
        <v>1873835.2599533629</v>
      </c>
    </row>
    <row r="30" spans="1:13" x14ac:dyDescent="0.3">
      <c r="A30" t="s">
        <v>103</v>
      </c>
      <c r="B30" t="s">
        <v>119</v>
      </c>
      <c r="C30" t="s">
        <v>117</v>
      </c>
      <c r="D30" t="str">
        <f t="shared" si="1"/>
        <v>BR-116/MG-3 Faixa-262,2</v>
      </c>
      <c r="E30" t="s">
        <v>29</v>
      </c>
      <c r="F30" t="s">
        <v>1</v>
      </c>
      <c r="G30">
        <v>262.20000000000005</v>
      </c>
      <c r="H30" s="1">
        <v>262.40000000000003</v>
      </c>
      <c r="I30" s="1">
        <f t="shared" si="0"/>
        <v>0.19999999999998863</v>
      </c>
      <c r="J30">
        <v>6</v>
      </c>
      <c r="K30">
        <v>6</v>
      </c>
      <c r="L30" t="s">
        <v>109</v>
      </c>
      <c r="M30" s="2">
        <v>803712.1351059943</v>
      </c>
    </row>
    <row r="31" spans="1:13" x14ac:dyDescent="0.3">
      <c r="A31" t="s">
        <v>103</v>
      </c>
      <c r="B31" t="s">
        <v>119</v>
      </c>
      <c r="C31" t="s">
        <v>117</v>
      </c>
      <c r="D31" t="str">
        <f t="shared" si="1"/>
        <v>BR-116/MG-3 Faixa-264,7</v>
      </c>
      <c r="E31" t="s">
        <v>30</v>
      </c>
      <c r="F31" t="s">
        <v>1</v>
      </c>
      <c r="G31">
        <v>264.7</v>
      </c>
      <c r="H31" s="1">
        <v>265</v>
      </c>
      <c r="I31" s="1">
        <f t="shared" si="0"/>
        <v>0.30000000000001137</v>
      </c>
      <c r="J31">
        <v>6</v>
      </c>
      <c r="K31">
        <v>6</v>
      </c>
      <c r="L31" t="s">
        <v>109</v>
      </c>
      <c r="M31" s="2">
        <v>924725.4321881528</v>
      </c>
    </row>
    <row r="32" spans="1:13" x14ac:dyDescent="0.3">
      <c r="A32" t="s">
        <v>103</v>
      </c>
      <c r="B32" t="s">
        <v>119</v>
      </c>
      <c r="C32" t="s">
        <v>117</v>
      </c>
      <c r="D32" t="str">
        <f t="shared" si="1"/>
        <v>BR-116/MG-3 Faixa-266,3</v>
      </c>
      <c r="E32" t="s">
        <v>31</v>
      </c>
      <c r="F32" t="s">
        <v>1</v>
      </c>
      <c r="G32">
        <v>266.3</v>
      </c>
      <c r="H32" s="1">
        <v>266.60000000000002</v>
      </c>
      <c r="I32" s="1">
        <f t="shared" si="0"/>
        <v>0.30000000000001137</v>
      </c>
      <c r="J32">
        <v>6</v>
      </c>
      <c r="K32">
        <v>6</v>
      </c>
      <c r="L32" t="s">
        <v>109</v>
      </c>
      <c r="M32" s="2">
        <v>899255.39186992915</v>
      </c>
    </row>
    <row r="33" spans="1:13" x14ac:dyDescent="0.3">
      <c r="A33" t="s">
        <v>103</v>
      </c>
      <c r="B33" t="s">
        <v>119</v>
      </c>
      <c r="C33" t="s">
        <v>117</v>
      </c>
      <c r="D33" t="str">
        <f t="shared" si="1"/>
        <v>BR-116/MG-3 Faixa-264,1</v>
      </c>
      <c r="E33" t="s">
        <v>32</v>
      </c>
      <c r="F33" t="s">
        <v>1</v>
      </c>
      <c r="G33">
        <v>264.10000000000002</v>
      </c>
      <c r="H33" s="1">
        <v>264.3</v>
      </c>
      <c r="I33" s="1">
        <f t="shared" si="0"/>
        <v>0.19999999999998863</v>
      </c>
      <c r="J33">
        <v>6</v>
      </c>
      <c r="K33">
        <v>6</v>
      </c>
      <c r="L33" t="s">
        <v>109</v>
      </c>
      <c r="M33" s="2">
        <v>741709.95451607625</v>
      </c>
    </row>
    <row r="34" spans="1:13" x14ac:dyDescent="0.3">
      <c r="A34" t="s">
        <v>103</v>
      </c>
      <c r="B34" t="s">
        <v>119</v>
      </c>
      <c r="C34" t="s">
        <v>117</v>
      </c>
      <c r="D34" t="str">
        <f t="shared" si="1"/>
        <v>BR-116/MG-3 Faixa-264,7</v>
      </c>
      <c r="E34" t="s">
        <v>33</v>
      </c>
      <c r="F34" t="s">
        <v>1</v>
      </c>
      <c r="G34">
        <v>264.70000000000005</v>
      </c>
      <c r="H34" s="1">
        <v>266.10000000000002</v>
      </c>
      <c r="I34" s="1">
        <f t="shared" si="0"/>
        <v>1.3999999999999773</v>
      </c>
      <c r="J34">
        <v>6</v>
      </c>
      <c r="K34">
        <v>6</v>
      </c>
      <c r="L34" t="s">
        <v>109</v>
      </c>
      <c r="M34" s="2">
        <v>2458167.5003885748</v>
      </c>
    </row>
    <row r="35" spans="1:13" x14ac:dyDescent="0.3">
      <c r="A35" t="s">
        <v>103</v>
      </c>
      <c r="B35" t="s">
        <v>119</v>
      </c>
      <c r="C35" t="s">
        <v>117</v>
      </c>
      <c r="D35" t="str">
        <f t="shared" si="1"/>
        <v>BR-116/MG-3 Faixa-270,2</v>
      </c>
      <c r="E35" t="s">
        <v>34</v>
      </c>
      <c r="F35" t="s">
        <v>1</v>
      </c>
      <c r="G35">
        <v>270.20000000000005</v>
      </c>
      <c r="H35" s="1">
        <v>274</v>
      </c>
      <c r="I35" s="1">
        <f t="shared" si="0"/>
        <v>3.7999999999999545</v>
      </c>
      <c r="J35">
        <v>6</v>
      </c>
      <c r="K35">
        <v>6</v>
      </c>
      <c r="L35" t="s">
        <v>109</v>
      </c>
      <c r="M35" s="2">
        <v>6023884.883786751</v>
      </c>
    </row>
    <row r="36" spans="1:13" x14ac:dyDescent="0.3">
      <c r="A36" t="s">
        <v>103</v>
      </c>
      <c r="B36" t="s">
        <v>119</v>
      </c>
      <c r="C36" t="s">
        <v>117</v>
      </c>
      <c r="D36" t="str">
        <f t="shared" si="1"/>
        <v>BR-116/MG-3 Faixa-299,6</v>
      </c>
      <c r="E36" t="s">
        <v>35</v>
      </c>
      <c r="F36" t="s">
        <v>1</v>
      </c>
      <c r="G36">
        <v>299.60000000000002</v>
      </c>
      <c r="H36" s="1">
        <v>301.5</v>
      </c>
      <c r="I36" s="1">
        <f t="shared" si="0"/>
        <v>1.8999999999999773</v>
      </c>
      <c r="J36">
        <v>6</v>
      </c>
      <c r="K36">
        <v>6</v>
      </c>
      <c r="L36" t="s">
        <v>109</v>
      </c>
      <c r="M36" s="2">
        <v>3276600.6018983531</v>
      </c>
    </row>
    <row r="37" spans="1:13" x14ac:dyDescent="0.3">
      <c r="A37" t="s">
        <v>103</v>
      </c>
      <c r="B37" t="s">
        <v>119</v>
      </c>
      <c r="C37" t="s">
        <v>117</v>
      </c>
      <c r="D37" t="str">
        <f t="shared" si="1"/>
        <v>BR-116/MG-3 Faixa-295,8</v>
      </c>
      <c r="E37" t="s">
        <v>36</v>
      </c>
      <c r="F37" t="s">
        <v>1</v>
      </c>
      <c r="G37">
        <v>295.8</v>
      </c>
      <c r="H37" s="1">
        <v>297.10000000000002</v>
      </c>
      <c r="I37" s="1">
        <f t="shared" si="0"/>
        <v>1.3000000000000114</v>
      </c>
      <c r="J37">
        <v>6</v>
      </c>
      <c r="K37">
        <v>6</v>
      </c>
      <c r="L37" t="s">
        <v>109</v>
      </c>
      <c r="M37" s="2">
        <v>2338724.6471515526</v>
      </c>
    </row>
    <row r="38" spans="1:13" x14ac:dyDescent="0.3">
      <c r="A38" t="s">
        <v>103</v>
      </c>
      <c r="B38" t="s">
        <v>119</v>
      </c>
      <c r="C38" t="s">
        <v>117</v>
      </c>
      <c r="D38" t="str">
        <f t="shared" si="1"/>
        <v>BR-116/MG-3 Faixa-297,6</v>
      </c>
      <c r="E38" t="s">
        <v>37</v>
      </c>
      <c r="F38" t="s">
        <v>1</v>
      </c>
      <c r="G38">
        <v>297.60000000000002</v>
      </c>
      <c r="H38" s="1">
        <v>298.60000000000002</v>
      </c>
      <c r="I38" s="1">
        <f t="shared" si="0"/>
        <v>1</v>
      </c>
      <c r="J38">
        <v>6</v>
      </c>
      <c r="K38">
        <v>6</v>
      </c>
      <c r="L38" t="s">
        <v>109</v>
      </c>
      <c r="M38" s="2">
        <v>1997230.6479361204</v>
      </c>
    </row>
    <row r="39" spans="1:13" x14ac:dyDescent="0.3">
      <c r="A39" t="s">
        <v>103</v>
      </c>
      <c r="B39" t="s">
        <v>119</v>
      </c>
      <c r="C39" t="s">
        <v>117</v>
      </c>
      <c r="D39" t="str">
        <f t="shared" si="1"/>
        <v>BR-116/MG-3 Faixa-303,1</v>
      </c>
      <c r="E39" t="s">
        <v>38</v>
      </c>
      <c r="F39" t="s">
        <v>1</v>
      </c>
      <c r="G39">
        <v>303.10000000000002</v>
      </c>
      <c r="H39" s="1">
        <v>306.39999999999998</v>
      </c>
      <c r="I39" s="1">
        <f t="shared" si="0"/>
        <v>3.2999999999999545</v>
      </c>
      <c r="J39">
        <v>6</v>
      </c>
      <c r="K39">
        <v>6</v>
      </c>
      <c r="L39" t="s">
        <v>109</v>
      </c>
      <c r="M39" s="2">
        <v>5396960.1283182865</v>
      </c>
    </row>
    <row r="40" spans="1:13" x14ac:dyDescent="0.3">
      <c r="A40" t="s">
        <v>103</v>
      </c>
      <c r="B40" t="s">
        <v>119</v>
      </c>
      <c r="C40" t="s">
        <v>117</v>
      </c>
      <c r="D40" t="str">
        <f t="shared" si="1"/>
        <v>BR-116/MG-3 Faixa-349,5</v>
      </c>
      <c r="E40" t="s">
        <v>39</v>
      </c>
      <c r="F40" t="s">
        <v>1</v>
      </c>
      <c r="G40">
        <v>349.5</v>
      </c>
      <c r="H40" s="1">
        <v>351.9</v>
      </c>
      <c r="I40" s="1">
        <f t="shared" si="0"/>
        <v>2.3999999999999773</v>
      </c>
      <c r="J40">
        <v>4</v>
      </c>
      <c r="K40">
        <v>5</v>
      </c>
      <c r="L40" t="s">
        <v>109</v>
      </c>
      <c r="M40" s="2">
        <v>4408942.9726380538</v>
      </c>
    </row>
    <row r="41" spans="1:13" x14ac:dyDescent="0.3">
      <c r="A41" t="s">
        <v>103</v>
      </c>
      <c r="B41" t="s">
        <v>119</v>
      </c>
      <c r="C41" t="s">
        <v>117</v>
      </c>
      <c r="D41" t="str">
        <f t="shared" si="1"/>
        <v>BR-116/MG-3 Faixa-352,1</v>
      </c>
      <c r="E41" t="s">
        <v>40</v>
      </c>
      <c r="F41" t="s">
        <v>1</v>
      </c>
      <c r="G41">
        <v>352.1</v>
      </c>
      <c r="H41" s="1">
        <v>352.5</v>
      </c>
      <c r="I41" s="1">
        <f t="shared" si="0"/>
        <v>0.39999999999997726</v>
      </c>
      <c r="J41">
        <v>4</v>
      </c>
      <c r="K41">
        <v>4</v>
      </c>
      <c r="L41" t="s">
        <v>109</v>
      </c>
      <c r="M41" s="2">
        <v>1089735.1031448143</v>
      </c>
    </row>
    <row r="42" spans="1:13" x14ac:dyDescent="0.3">
      <c r="A42" t="s">
        <v>103</v>
      </c>
      <c r="B42" t="s">
        <v>119</v>
      </c>
      <c r="C42" t="s">
        <v>117</v>
      </c>
      <c r="D42" t="str">
        <f t="shared" si="1"/>
        <v>BR-116/MG-3 Faixa-352,8</v>
      </c>
      <c r="E42" t="s">
        <v>41</v>
      </c>
      <c r="F42" t="s">
        <v>1</v>
      </c>
      <c r="G42">
        <v>352.8</v>
      </c>
      <c r="H42" s="1">
        <v>353.3</v>
      </c>
      <c r="I42" s="1">
        <f t="shared" si="0"/>
        <v>0.5</v>
      </c>
      <c r="J42">
        <v>4</v>
      </c>
      <c r="K42">
        <v>4</v>
      </c>
      <c r="L42" t="s">
        <v>109</v>
      </c>
      <c r="M42" s="2">
        <v>1251719.3023647</v>
      </c>
    </row>
    <row r="43" spans="1:13" x14ac:dyDescent="0.3">
      <c r="A43" t="s">
        <v>103</v>
      </c>
      <c r="B43" t="s">
        <v>119</v>
      </c>
      <c r="C43" t="s">
        <v>117</v>
      </c>
      <c r="D43" t="str">
        <f t="shared" si="1"/>
        <v>BR-116/MG-3 Faixa-353,6</v>
      </c>
      <c r="E43" t="s">
        <v>42</v>
      </c>
      <c r="F43" t="s">
        <v>1</v>
      </c>
      <c r="G43">
        <v>353.6</v>
      </c>
      <c r="H43" s="1">
        <v>354.1</v>
      </c>
      <c r="I43" s="1">
        <f t="shared" si="0"/>
        <v>0.5</v>
      </c>
      <c r="J43">
        <v>4</v>
      </c>
      <c r="K43">
        <v>4</v>
      </c>
      <c r="L43" t="s">
        <v>109</v>
      </c>
      <c r="M43" s="2">
        <v>1105305.6318502615</v>
      </c>
    </row>
    <row r="44" spans="1:13" x14ac:dyDescent="0.3">
      <c r="A44" t="s">
        <v>103</v>
      </c>
      <c r="B44" t="s">
        <v>119</v>
      </c>
      <c r="C44" t="s">
        <v>117</v>
      </c>
      <c r="D44" t="str">
        <f t="shared" si="1"/>
        <v>BR-116/MG-3 Faixa-356,9</v>
      </c>
      <c r="E44" t="s">
        <v>43</v>
      </c>
      <c r="F44" t="s">
        <v>1</v>
      </c>
      <c r="G44">
        <v>356.90000000000003</v>
      </c>
      <c r="H44" s="1">
        <v>357.3</v>
      </c>
      <c r="I44" s="1">
        <f t="shared" si="0"/>
        <v>0.39999999999997726</v>
      </c>
      <c r="J44">
        <v>4</v>
      </c>
      <c r="K44">
        <v>4</v>
      </c>
      <c r="L44" t="s">
        <v>109</v>
      </c>
      <c r="M44" s="2">
        <v>1180766.1119473192</v>
      </c>
    </row>
    <row r="45" spans="1:13" x14ac:dyDescent="0.3">
      <c r="A45" t="s">
        <v>103</v>
      </c>
      <c r="B45" t="s">
        <v>119</v>
      </c>
      <c r="C45" t="s">
        <v>117</v>
      </c>
      <c r="D45" t="str">
        <f t="shared" si="1"/>
        <v>BR-116/MG-3 Faixa-351,8</v>
      </c>
      <c r="E45" t="s">
        <v>44</v>
      </c>
      <c r="F45" t="s">
        <v>1</v>
      </c>
      <c r="G45">
        <v>351.8</v>
      </c>
      <c r="H45" s="1">
        <v>352.8</v>
      </c>
      <c r="I45" s="1">
        <f t="shared" si="0"/>
        <v>1</v>
      </c>
      <c r="J45">
        <v>4</v>
      </c>
      <c r="K45">
        <v>4</v>
      </c>
      <c r="L45" t="s">
        <v>109</v>
      </c>
      <c r="M45" s="2">
        <v>2090562.0728601995</v>
      </c>
    </row>
    <row r="46" spans="1:13" x14ac:dyDescent="0.3">
      <c r="A46" t="s">
        <v>103</v>
      </c>
      <c r="B46" t="s">
        <v>119</v>
      </c>
      <c r="C46" t="s">
        <v>117</v>
      </c>
      <c r="D46" t="str">
        <f t="shared" si="1"/>
        <v>BR-116/MG-3 Faixa-352,5</v>
      </c>
      <c r="E46" t="s">
        <v>45</v>
      </c>
      <c r="F46" t="s">
        <v>1</v>
      </c>
      <c r="G46">
        <v>352.5</v>
      </c>
      <c r="H46" s="1">
        <v>352.90000000000003</v>
      </c>
      <c r="I46" s="1">
        <f t="shared" si="0"/>
        <v>0.40000000000003411</v>
      </c>
      <c r="J46">
        <v>4</v>
      </c>
      <c r="K46">
        <v>4</v>
      </c>
      <c r="L46" t="s">
        <v>109</v>
      </c>
      <c r="M46" s="2">
        <v>1180550.3656192548</v>
      </c>
    </row>
    <row r="47" spans="1:13" x14ac:dyDescent="0.3">
      <c r="A47" t="s">
        <v>103</v>
      </c>
      <c r="B47" t="s">
        <v>119</v>
      </c>
      <c r="C47" t="s">
        <v>117</v>
      </c>
      <c r="D47" t="str">
        <f t="shared" si="1"/>
        <v>BR-116/MG-3 Faixa-353,2</v>
      </c>
      <c r="E47" t="s">
        <v>46</v>
      </c>
      <c r="F47" t="s">
        <v>1</v>
      </c>
      <c r="G47">
        <v>353.2</v>
      </c>
      <c r="H47" s="1">
        <v>353.6</v>
      </c>
      <c r="I47" s="1">
        <f t="shared" si="0"/>
        <v>0.40000000000003411</v>
      </c>
      <c r="J47">
        <v>4</v>
      </c>
      <c r="K47">
        <v>4</v>
      </c>
      <c r="L47" t="s">
        <v>109</v>
      </c>
      <c r="M47" s="2">
        <v>1179883.0962193192</v>
      </c>
    </row>
    <row r="48" spans="1:13" x14ac:dyDescent="0.3">
      <c r="A48" t="s">
        <v>103</v>
      </c>
      <c r="B48" t="s">
        <v>119</v>
      </c>
      <c r="C48" t="s">
        <v>117</v>
      </c>
      <c r="D48" t="str">
        <f t="shared" si="1"/>
        <v>BR-116/MG-3 Faixa-354</v>
      </c>
      <c r="E48" t="s">
        <v>47</v>
      </c>
      <c r="F48" t="s">
        <v>1</v>
      </c>
      <c r="G48">
        <v>354</v>
      </c>
      <c r="H48" s="1">
        <v>355.40000000000003</v>
      </c>
      <c r="I48" s="1">
        <f t="shared" si="0"/>
        <v>1.4000000000000341</v>
      </c>
      <c r="J48">
        <v>4</v>
      </c>
      <c r="K48">
        <v>4</v>
      </c>
      <c r="L48" t="s">
        <v>109</v>
      </c>
      <c r="M48" s="2">
        <v>2502119.0976496465</v>
      </c>
    </row>
    <row r="49" spans="1:13" x14ac:dyDescent="0.3">
      <c r="A49" t="s">
        <v>103</v>
      </c>
      <c r="B49" t="s">
        <v>119</v>
      </c>
      <c r="C49" t="s">
        <v>117</v>
      </c>
      <c r="D49" t="str">
        <f t="shared" si="1"/>
        <v>BR-116/MG-3 Faixa-358,5</v>
      </c>
      <c r="E49" t="s">
        <v>48</v>
      </c>
      <c r="F49" t="s">
        <v>1</v>
      </c>
      <c r="G49">
        <v>358.5</v>
      </c>
      <c r="H49" s="1">
        <v>359.2</v>
      </c>
      <c r="I49" s="1">
        <f t="shared" si="0"/>
        <v>0.69999999999998863</v>
      </c>
      <c r="J49">
        <v>4</v>
      </c>
      <c r="K49">
        <v>4</v>
      </c>
      <c r="L49" t="s">
        <v>109</v>
      </c>
      <c r="M49" s="2">
        <v>1638970.2433597732</v>
      </c>
    </row>
    <row r="50" spans="1:13" x14ac:dyDescent="0.3">
      <c r="A50" t="s">
        <v>103</v>
      </c>
      <c r="B50" t="s">
        <v>119</v>
      </c>
      <c r="C50" t="s">
        <v>117</v>
      </c>
      <c r="D50" t="str">
        <f t="shared" si="1"/>
        <v>BR-251/MG-3 Faixa-200,6</v>
      </c>
      <c r="E50" t="s">
        <v>50</v>
      </c>
      <c r="F50" t="s">
        <v>49</v>
      </c>
      <c r="G50">
        <v>200.6</v>
      </c>
      <c r="H50" s="1">
        <v>203.4</v>
      </c>
      <c r="I50" s="1">
        <f t="shared" si="0"/>
        <v>2.8000000000000114</v>
      </c>
      <c r="J50">
        <v>9</v>
      </c>
      <c r="K50">
        <v>9</v>
      </c>
      <c r="L50" t="s">
        <v>109</v>
      </c>
      <c r="M50" s="2">
        <v>39258106.342532128</v>
      </c>
    </row>
    <row r="51" spans="1:13" x14ac:dyDescent="0.3">
      <c r="A51" t="s">
        <v>103</v>
      </c>
      <c r="B51" t="s">
        <v>119</v>
      </c>
      <c r="C51" t="s">
        <v>117</v>
      </c>
      <c r="D51" t="str">
        <f t="shared" si="1"/>
        <v>BR-251/MG-3 Faixa-204</v>
      </c>
      <c r="E51" t="s">
        <v>51</v>
      </c>
      <c r="F51" t="s">
        <v>49</v>
      </c>
      <c r="G51">
        <v>204</v>
      </c>
      <c r="H51" s="1">
        <v>205.9</v>
      </c>
      <c r="I51" s="1">
        <f t="shared" si="0"/>
        <v>1.9000000000000057</v>
      </c>
      <c r="J51">
        <v>9</v>
      </c>
      <c r="K51">
        <v>9</v>
      </c>
      <c r="L51" t="s">
        <v>109</v>
      </c>
      <c r="M51" s="2">
        <v>10629363.054587197</v>
      </c>
    </row>
    <row r="52" spans="1:13" x14ac:dyDescent="0.3">
      <c r="A52" t="s">
        <v>103</v>
      </c>
      <c r="B52" t="s">
        <v>119</v>
      </c>
      <c r="C52" t="s">
        <v>117</v>
      </c>
      <c r="D52" t="str">
        <f t="shared" si="1"/>
        <v>BR-251/MG-3 Faixa-206,6</v>
      </c>
      <c r="E52" t="s">
        <v>52</v>
      </c>
      <c r="F52" t="s">
        <v>49</v>
      </c>
      <c r="G52">
        <v>206.6</v>
      </c>
      <c r="H52" s="1">
        <v>210.29999999999998</v>
      </c>
      <c r="I52" s="1">
        <f t="shared" si="0"/>
        <v>3.6999999999999886</v>
      </c>
      <c r="J52">
        <v>9</v>
      </c>
      <c r="K52">
        <v>9</v>
      </c>
      <c r="L52" t="s">
        <v>109</v>
      </c>
      <c r="M52" s="2">
        <v>33889554.868356846</v>
      </c>
    </row>
    <row r="53" spans="1:13" x14ac:dyDescent="0.3">
      <c r="A53" t="s">
        <v>103</v>
      </c>
      <c r="B53" t="s">
        <v>119</v>
      </c>
      <c r="C53" t="s">
        <v>117</v>
      </c>
      <c r="D53" t="str">
        <f t="shared" si="1"/>
        <v>BR-251/MG-3 Faixa-212,7</v>
      </c>
      <c r="E53" t="s">
        <v>53</v>
      </c>
      <c r="F53" t="s">
        <v>49</v>
      </c>
      <c r="G53">
        <v>212.7</v>
      </c>
      <c r="H53" s="1">
        <v>214.3</v>
      </c>
      <c r="I53" s="1">
        <f t="shared" si="0"/>
        <v>1.6000000000000227</v>
      </c>
      <c r="J53">
        <v>9</v>
      </c>
      <c r="K53">
        <v>9</v>
      </c>
      <c r="L53" t="s">
        <v>110</v>
      </c>
      <c r="M53" s="2">
        <v>0</v>
      </c>
    </row>
    <row r="54" spans="1:13" x14ac:dyDescent="0.3">
      <c r="A54" t="s">
        <v>103</v>
      </c>
      <c r="B54" t="s">
        <v>119</v>
      </c>
      <c r="C54" t="s">
        <v>117</v>
      </c>
      <c r="D54" t="str">
        <f t="shared" si="1"/>
        <v>BR-251/MG-3 Faixa-217,8</v>
      </c>
      <c r="E54" t="s">
        <v>54</v>
      </c>
      <c r="F54" t="s">
        <v>49</v>
      </c>
      <c r="G54">
        <v>217.79999999999998</v>
      </c>
      <c r="H54" s="1">
        <v>220.5</v>
      </c>
      <c r="I54" s="1">
        <f t="shared" si="0"/>
        <v>2.7000000000000171</v>
      </c>
      <c r="J54">
        <v>8</v>
      </c>
      <c r="K54">
        <v>8</v>
      </c>
      <c r="L54" t="s">
        <v>109</v>
      </c>
      <c r="M54" s="2">
        <v>28142071.716042668</v>
      </c>
    </row>
    <row r="55" spans="1:13" x14ac:dyDescent="0.3">
      <c r="A55" t="s">
        <v>103</v>
      </c>
      <c r="B55" t="s">
        <v>119</v>
      </c>
      <c r="C55" t="s">
        <v>117</v>
      </c>
      <c r="D55" t="str">
        <f t="shared" si="1"/>
        <v>BR-251/MG-3 Faixa-220,1</v>
      </c>
      <c r="E55" t="s">
        <v>55</v>
      </c>
      <c r="F55" t="s">
        <v>49</v>
      </c>
      <c r="G55">
        <v>220.1</v>
      </c>
      <c r="H55" s="1">
        <v>221.79999999999998</v>
      </c>
      <c r="I55" s="1">
        <f t="shared" si="0"/>
        <v>1.6999999999999886</v>
      </c>
      <c r="J55">
        <v>8</v>
      </c>
      <c r="K55">
        <v>8</v>
      </c>
      <c r="L55" t="s">
        <v>109</v>
      </c>
      <c r="M55" s="2">
        <v>7331902.0555816973</v>
      </c>
    </row>
    <row r="56" spans="1:13" x14ac:dyDescent="0.3">
      <c r="A56" t="s">
        <v>103</v>
      </c>
      <c r="B56" t="s">
        <v>119</v>
      </c>
      <c r="C56" t="s">
        <v>117</v>
      </c>
      <c r="D56" t="str">
        <f t="shared" si="1"/>
        <v>BR-251/MG-3 Faixa-222</v>
      </c>
      <c r="E56" t="s">
        <v>56</v>
      </c>
      <c r="F56" t="s">
        <v>49</v>
      </c>
      <c r="G56">
        <v>222</v>
      </c>
      <c r="H56" s="1">
        <v>224.29999999999998</v>
      </c>
      <c r="I56" s="1">
        <f t="shared" si="0"/>
        <v>2.2999999999999829</v>
      </c>
      <c r="J56">
        <v>7</v>
      </c>
      <c r="K56">
        <v>7</v>
      </c>
      <c r="L56" t="s">
        <v>110</v>
      </c>
      <c r="M56" s="2">
        <v>0</v>
      </c>
    </row>
    <row r="57" spans="1:13" x14ac:dyDescent="0.3">
      <c r="A57" t="s">
        <v>103</v>
      </c>
      <c r="B57" t="s">
        <v>119</v>
      </c>
      <c r="C57" t="s">
        <v>117</v>
      </c>
      <c r="D57" t="str">
        <f t="shared" si="1"/>
        <v>BR-251/MG-3 Faixa-223,9</v>
      </c>
      <c r="E57" t="s">
        <v>57</v>
      </c>
      <c r="F57" t="s">
        <v>49</v>
      </c>
      <c r="G57">
        <v>223.9</v>
      </c>
      <c r="H57" s="1">
        <v>228.6</v>
      </c>
      <c r="I57" s="1">
        <f t="shared" si="0"/>
        <v>4.6999999999999886</v>
      </c>
      <c r="J57">
        <v>6</v>
      </c>
      <c r="K57">
        <v>7</v>
      </c>
      <c r="L57" t="s">
        <v>109</v>
      </c>
      <c r="M57" s="2">
        <v>70421225.740279153</v>
      </c>
    </row>
    <row r="58" spans="1:13" x14ac:dyDescent="0.3">
      <c r="A58" t="s">
        <v>103</v>
      </c>
      <c r="B58" t="s">
        <v>119</v>
      </c>
      <c r="C58" t="s">
        <v>117</v>
      </c>
      <c r="D58" t="str">
        <f t="shared" si="1"/>
        <v>BR-251/MG-3 Faixa-229,9</v>
      </c>
      <c r="E58" t="s">
        <v>58</v>
      </c>
      <c r="F58" t="s">
        <v>49</v>
      </c>
      <c r="G58">
        <v>229.9</v>
      </c>
      <c r="H58" s="1">
        <v>233.1</v>
      </c>
      <c r="I58" s="1">
        <f t="shared" si="0"/>
        <v>3.1999999999999886</v>
      </c>
      <c r="J58">
        <v>6</v>
      </c>
      <c r="K58">
        <v>6</v>
      </c>
      <c r="L58" t="s">
        <v>110</v>
      </c>
      <c r="M58" s="2">
        <v>0</v>
      </c>
    </row>
    <row r="59" spans="1:13" x14ac:dyDescent="0.3">
      <c r="A59" t="s">
        <v>103</v>
      </c>
      <c r="B59" t="s">
        <v>119</v>
      </c>
      <c r="C59" t="s">
        <v>117</v>
      </c>
      <c r="D59" t="str">
        <f t="shared" si="1"/>
        <v>BR-251/MG-3 Faixa-234</v>
      </c>
      <c r="E59" t="s">
        <v>59</v>
      </c>
      <c r="F59" t="s">
        <v>49</v>
      </c>
      <c r="G59">
        <v>234</v>
      </c>
      <c r="H59" s="1">
        <v>235.4</v>
      </c>
      <c r="I59" s="1">
        <f t="shared" si="0"/>
        <v>1.4000000000000057</v>
      </c>
      <c r="J59">
        <v>6</v>
      </c>
      <c r="K59">
        <v>6</v>
      </c>
      <c r="L59" t="s">
        <v>110</v>
      </c>
      <c r="M59" s="2">
        <v>0</v>
      </c>
    </row>
    <row r="60" spans="1:13" x14ac:dyDescent="0.3">
      <c r="A60" t="s">
        <v>103</v>
      </c>
      <c r="B60" t="s">
        <v>119</v>
      </c>
      <c r="C60" t="s">
        <v>117</v>
      </c>
      <c r="D60" t="str">
        <f t="shared" si="1"/>
        <v>BR-251/MG-3 Faixa-243,2</v>
      </c>
      <c r="E60" t="s">
        <v>60</v>
      </c>
      <c r="F60" t="s">
        <v>49</v>
      </c>
      <c r="G60">
        <v>243.2</v>
      </c>
      <c r="H60" s="1">
        <v>244.6</v>
      </c>
      <c r="I60" s="1">
        <f t="shared" si="0"/>
        <v>1.4000000000000057</v>
      </c>
      <c r="J60">
        <v>5</v>
      </c>
      <c r="K60">
        <v>6</v>
      </c>
      <c r="L60" t="s">
        <v>109</v>
      </c>
      <c r="M60" s="2">
        <v>355992263.60064685</v>
      </c>
    </row>
    <row r="61" spans="1:13" x14ac:dyDescent="0.3">
      <c r="A61" t="s">
        <v>103</v>
      </c>
      <c r="B61" t="s">
        <v>119</v>
      </c>
      <c r="C61" t="s">
        <v>117</v>
      </c>
      <c r="D61" t="str">
        <f t="shared" si="1"/>
        <v>BR-251/MG-3 Faixa-247,2</v>
      </c>
      <c r="E61" t="s">
        <v>61</v>
      </c>
      <c r="F61" t="s">
        <v>49</v>
      </c>
      <c r="G61">
        <v>247.2</v>
      </c>
      <c r="H61" s="1">
        <v>248.9</v>
      </c>
      <c r="I61" s="1">
        <f t="shared" si="0"/>
        <v>1.7000000000000171</v>
      </c>
      <c r="J61">
        <v>5</v>
      </c>
      <c r="K61">
        <v>5</v>
      </c>
      <c r="L61" t="s">
        <v>109</v>
      </c>
      <c r="M61" s="2">
        <v>108141480.03882059</v>
      </c>
    </row>
    <row r="62" spans="1:13" x14ac:dyDescent="0.3">
      <c r="A62" t="s">
        <v>103</v>
      </c>
      <c r="B62" t="s">
        <v>119</v>
      </c>
      <c r="C62" t="s">
        <v>117</v>
      </c>
      <c r="D62" t="str">
        <f t="shared" si="1"/>
        <v>BR-251/MG-3 Faixa-248,6</v>
      </c>
      <c r="E62" t="s">
        <v>62</v>
      </c>
      <c r="F62" t="s">
        <v>49</v>
      </c>
      <c r="G62">
        <v>248.6</v>
      </c>
      <c r="H62" s="1">
        <v>250.2</v>
      </c>
      <c r="I62" s="1">
        <f t="shared" si="0"/>
        <v>1.5999999999999943</v>
      </c>
      <c r="J62">
        <v>3</v>
      </c>
      <c r="K62">
        <v>4</v>
      </c>
      <c r="L62" t="s">
        <v>109</v>
      </c>
      <c r="M62" s="2">
        <v>474582725.26742822</v>
      </c>
    </row>
    <row r="63" spans="1:13" x14ac:dyDescent="0.3">
      <c r="A63" t="s">
        <v>103</v>
      </c>
      <c r="B63" t="s">
        <v>119</v>
      </c>
      <c r="C63" t="s">
        <v>117</v>
      </c>
      <c r="D63" t="str">
        <f t="shared" si="1"/>
        <v>BR-251/MG-3 Faixa-252,3</v>
      </c>
      <c r="E63" t="s">
        <v>63</v>
      </c>
      <c r="F63" t="s">
        <v>49</v>
      </c>
      <c r="G63">
        <v>252.3</v>
      </c>
      <c r="H63" s="1">
        <v>253.3</v>
      </c>
      <c r="I63" s="1">
        <f t="shared" si="0"/>
        <v>1</v>
      </c>
      <c r="J63">
        <v>6</v>
      </c>
      <c r="K63">
        <v>9</v>
      </c>
      <c r="L63" t="s">
        <v>109</v>
      </c>
      <c r="M63" s="2">
        <v>6366449.1465305062</v>
      </c>
    </row>
    <row r="64" spans="1:13" x14ac:dyDescent="0.3">
      <c r="A64" t="s">
        <v>103</v>
      </c>
      <c r="B64" t="s">
        <v>119</v>
      </c>
      <c r="C64" t="s">
        <v>117</v>
      </c>
      <c r="D64" t="str">
        <f t="shared" si="1"/>
        <v>BR-251/MG-3 Faixa-254,4</v>
      </c>
      <c r="E64" t="s">
        <v>64</v>
      </c>
      <c r="F64" t="s">
        <v>49</v>
      </c>
      <c r="G64">
        <v>254.4</v>
      </c>
      <c r="H64" s="1">
        <v>256.5</v>
      </c>
      <c r="I64" s="1">
        <f t="shared" si="0"/>
        <v>2.0999999999999943</v>
      </c>
      <c r="J64">
        <v>6</v>
      </c>
      <c r="K64">
        <v>9</v>
      </c>
      <c r="L64" t="s">
        <v>109</v>
      </c>
      <c r="M64" s="2">
        <v>10892786.995204575</v>
      </c>
    </row>
    <row r="65" spans="1:13" x14ac:dyDescent="0.3">
      <c r="A65" t="s">
        <v>103</v>
      </c>
      <c r="B65" t="s">
        <v>119</v>
      </c>
      <c r="C65" t="s">
        <v>117</v>
      </c>
      <c r="D65" t="str">
        <f t="shared" si="1"/>
        <v>BR-251/MG-3 Faixa-257,5</v>
      </c>
      <c r="E65" t="s">
        <v>65</v>
      </c>
      <c r="F65" t="s">
        <v>49</v>
      </c>
      <c r="G65">
        <v>257.5</v>
      </c>
      <c r="H65" s="1">
        <v>258.40000000000003</v>
      </c>
      <c r="I65" s="1">
        <f t="shared" si="0"/>
        <v>0.90000000000003411</v>
      </c>
      <c r="J65">
        <v>6</v>
      </c>
      <c r="K65">
        <v>9</v>
      </c>
      <c r="L65" t="s">
        <v>109</v>
      </c>
      <c r="M65" s="2">
        <v>6025752.0070224395</v>
      </c>
    </row>
    <row r="66" spans="1:13" x14ac:dyDescent="0.3">
      <c r="A66" t="s">
        <v>103</v>
      </c>
      <c r="B66" t="s">
        <v>119</v>
      </c>
      <c r="C66" t="s">
        <v>117</v>
      </c>
      <c r="D66" t="str">
        <f t="shared" si="1"/>
        <v>BR-251/MG-3 Faixa-258,7</v>
      </c>
      <c r="E66" t="s">
        <v>66</v>
      </c>
      <c r="F66" t="s">
        <v>49</v>
      </c>
      <c r="G66">
        <v>258.7</v>
      </c>
      <c r="H66" s="1">
        <v>259.8</v>
      </c>
      <c r="I66" s="1">
        <f t="shared" si="0"/>
        <v>1.1000000000000227</v>
      </c>
      <c r="J66">
        <v>6</v>
      </c>
      <c r="K66">
        <v>9</v>
      </c>
      <c r="L66" t="s">
        <v>109</v>
      </c>
      <c r="M66" s="2">
        <v>243551476.79557219</v>
      </c>
    </row>
    <row r="67" spans="1:13" x14ac:dyDescent="0.3">
      <c r="A67" t="s">
        <v>103</v>
      </c>
      <c r="B67" t="s">
        <v>119</v>
      </c>
      <c r="C67" t="s">
        <v>117</v>
      </c>
      <c r="D67" t="str">
        <f t="shared" ref="D67:D102" si="2">F67&amp;"-"&amp;C67&amp;"-"&amp;G67</f>
        <v>BR-251/MG-3 Faixa-270,7</v>
      </c>
      <c r="E67" t="s">
        <v>67</v>
      </c>
      <c r="F67" t="s">
        <v>49</v>
      </c>
      <c r="G67">
        <v>270.70000000000005</v>
      </c>
      <c r="H67" s="1">
        <v>272.3</v>
      </c>
      <c r="I67" s="1">
        <f t="shared" ref="I67:I102" si="3">H67-G67</f>
        <v>1.5999999999999659</v>
      </c>
      <c r="J67">
        <v>8</v>
      </c>
      <c r="K67">
        <v>8</v>
      </c>
      <c r="L67" t="s">
        <v>109</v>
      </c>
      <c r="M67" s="2">
        <v>32012143.501545079</v>
      </c>
    </row>
    <row r="68" spans="1:13" x14ac:dyDescent="0.3">
      <c r="A68" t="s">
        <v>103</v>
      </c>
      <c r="B68" t="s">
        <v>119</v>
      </c>
      <c r="C68" t="s">
        <v>117</v>
      </c>
      <c r="D68" t="str">
        <f t="shared" si="2"/>
        <v>BR-251/MG-3 Faixa-271,2</v>
      </c>
      <c r="E68" t="s">
        <v>68</v>
      </c>
      <c r="F68" t="s">
        <v>49</v>
      </c>
      <c r="G68">
        <v>271.2</v>
      </c>
      <c r="H68" s="1">
        <v>276.3</v>
      </c>
      <c r="I68" s="1">
        <f t="shared" si="3"/>
        <v>5.1000000000000227</v>
      </c>
      <c r="J68">
        <v>8</v>
      </c>
      <c r="K68">
        <v>8</v>
      </c>
      <c r="L68" t="s">
        <v>109</v>
      </c>
      <c r="M68" s="2">
        <v>18586183.987846974</v>
      </c>
    </row>
    <row r="69" spans="1:13" x14ac:dyDescent="0.3">
      <c r="A69" t="s">
        <v>103</v>
      </c>
      <c r="B69" t="s">
        <v>119</v>
      </c>
      <c r="C69" t="s">
        <v>117</v>
      </c>
      <c r="D69" t="str">
        <f t="shared" si="2"/>
        <v>BR-251/MG-3 Faixa-279,1</v>
      </c>
      <c r="E69" t="s">
        <v>69</v>
      </c>
      <c r="F69" t="s">
        <v>49</v>
      </c>
      <c r="G69">
        <v>279.10000000000002</v>
      </c>
      <c r="H69" s="1">
        <v>283.39999999999998</v>
      </c>
      <c r="I69" s="1">
        <f t="shared" si="3"/>
        <v>4.2999999999999545</v>
      </c>
      <c r="J69">
        <v>8</v>
      </c>
      <c r="K69">
        <v>8</v>
      </c>
      <c r="L69" t="s">
        <v>109</v>
      </c>
      <c r="M69" s="2">
        <v>11745082.416417891</v>
      </c>
    </row>
    <row r="70" spans="1:13" x14ac:dyDescent="0.3">
      <c r="A70" t="s">
        <v>103</v>
      </c>
      <c r="B70" t="s">
        <v>119</v>
      </c>
      <c r="C70" t="s">
        <v>117</v>
      </c>
      <c r="D70" t="str">
        <f t="shared" si="2"/>
        <v>BR-251/MG-3 Faixa-285,4</v>
      </c>
      <c r="E70" t="s">
        <v>70</v>
      </c>
      <c r="F70" t="s">
        <v>49</v>
      </c>
      <c r="G70">
        <v>285.39999999999998</v>
      </c>
      <c r="H70" s="1">
        <v>293.60000000000002</v>
      </c>
      <c r="I70" s="1">
        <f t="shared" si="3"/>
        <v>8.2000000000000455</v>
      </c>
      <c r="J70">
        <v>5</v>
      </c>
      <c r="K70">
        <v>5</v>
      </c>
      <c r="L70" t="s">
        <v>109</v>
      </c>
      <c r="M70" s="2">
        <v>34520022.741538584</v>
      </c>
    </row>
    <row r="71" spans="1:13" x14ac:dyDescent="0.3">
      <c r="A71" t="s">
        <v>103</v>
      </c>
      <c r="B71" t="s">
        <v>119</v>
      </c>
      <c r="C71" t="s">
        <v>117</v>
      </c>
      <c r="D71" t="str">
        <f t="shared" si="2"/>
        <v>BR-251/MG-3 Faixa-295</v>
      </c>
      <c r="E71" t="s">
        <v>71</v>
      </c>
      <c r="F71" t="s">
        <v>49</v>
      </c>
      <c r="G71">
        <v>295</v>
      </c>
      <c r="H71" s="1">
        <v>297.10000000000002</v>
      </c>
      <c r="I71" s="1">
        <f t="shared" si="3"/>
        <v>2.1000000000000227</v>
      </c>
      <c r="J71">
        <v>5</v>
      </c>
      <c r="K71">
        <v>5</v>
      </c>
      <c r="L71" t="s">
        <v>109</v>
      </c>
      <c r="M71" s="2">
        <v>97938320.631518275</v>
      </c>
    </row>
    <row r="72" spans="1:13" x14ac:dyDescent="0.3">
      <c r="A72" t="s">
        <v>103</v>
      </c>
      <c r="B72" t="s">
        <v>119</v>
      </c>
      <c r="C72" t="s">
        <v>117</v>
      </c>
      <c r="D72" t="str">
        <f t="shared" si="2"/>
        <v>BR-251/MG-3 Faixa-297,2</v>
      </c>
      <c r="E72" t="s">
        <v>72</v>
      </c>
      <c r="F72" t="s">
        <v>49</v>
      </c>
      <c r="G72">
        <v>297.20000000000005</v>
      </c>
      <c r="H72" s="1">
        <v>299.10000000000002</v>
      </c>
      <c r="I72" s="1">
        <f t="shared" si="3"/>
        <v>1.8999999999999773</v>
      </c>
      <c r="J72">
        <v>4</v>
      </c>
      <c r="K72">
        <v>5</v>
      </c>
      <c r="L72" t="s">
        <v>109</v>
      </c>
      <c r="M72" s="2">
        <v>21916102.162956007</v>
      </c>
    </row>
    <row r="73" spans="1:13" x14ac:dyDescent="0.3">
      <c r="A73" t="s">
        <v>103</v>
      </c>
      <c r="B73" t="s">
        <v>119</v>
      </c>
      <c r="C73" t="s">
        <v>117</v>
      </c>
      <c r="D73" t="str">
        <f t="shared" si="2"/>
        <v>BR-251/MG-3 Faixa-299,1</v>
      </c>
      <c r="E73" t="s">
        <v>73</v>
      </c>
      <c r="F73" t="s">
        <v>49</v>
      </c>
      <c r="G73">
        <v>299.10000000000002</v>
      </c>
      <c r="H73" s="1">
        <v>300.20000000000005</v>
      </c>
      <c r="I73" s="1">
        <f t="shared" si="3"/>
        <v>1.1000000000000227</v>
      </c>
      <c r="J73">
        <v>4</v>
      </c>
      <c r="K73">
        <v>4</v>
      </c>
      <c r="L73" t="s">
        <v>109</v>
      </c>
      <c r="M73" s="2">
        <v>4285879.0783665245</v>
      </c>
    </row>
    <row r="74" spans="1:13" x14ac:dyDescent="0.3">
      <c r="A74" t="s">
        <v>103</v>
      </c>
      <c r="B74" t="s">
        <v>119</v>
      </c>
      <c r="C74" t="s">
        <v>117</v>
      </c>
      <c r="D74" t="str">
        <f t="shared" si="2"/>
        <v>BR-251/MG-3 Faixa-301,3</v>
      </c>
      <c r="E74" t="s">
        <v>74</v>
      </c>
      <c r="F74" t="s">
        <v>49</v>
      </c>
      <c r="G74">
        <v>301.3</v>
      </c>
      <c r="H74" s="1">
        <v>302.5</v>
      </c>
      <c r="I74" s="1">
        <f t="shared" si="3"/>
        <v>1.1999999999999886</v>
      </c>
      <c r="J74">
        <v>3</v>
      </c>
      <c r="K74">
        <v>3</v>
      </c>
      <c r="L74" t="s">
        <v>109</v>
      </c>
      <c r="M74" s="2">
        <v>14973722.976624267</v>
      </c>
    </row>
    <row r="75" spans="1:13" x14ac:dyDescent="0.3">
      <c r="A75" t="s">
        <v>103</v>
      </c>
      <c r="B75" t="s">
        <v>119</v>
      </c>
      <c r="C75" t="s">
        <v>117</v>
      </c>
      <c r="D75" t="str">
        <f t="shared" si="2"/>
        <v>BR-251/MG-3 Faixa-303,7</v>
      </c>
      <c r="E75" t="s">
        <v>75</v>
      </c>
      <c r="F75" t="s">
        <v>49</v>
      </c>
      <c r="G75">
        <v>303.70000000000005</v>
      </c>
      <c r="H75" s="1">
        <v>304.7</v>
      </c>
      <c r="I75" s="1">
        <f t="shared" si="3"/>
        <v>0.99999999999994316</v>
      </c>
      <c r="J75">
        <v>3</v>
      </c>
      <c r="K75">
        <v>3</v>
      </c>
      <c r="L75" t="s">
        <v>109</v>
      </c>
      <c r="M75" s="2">
        <v>76679354.1529053</v>
      </c>
    </row>
    <row r="76" spans="1:13" x14ac:dyDescent="0.3">
      <c r="A76" t="s">
        <v>103</v>
      </c>
      <c r="B76" t="s">
        <v>119</v>
      </c>
      <c r="C76" t="s">
        <v>117</v>
      </c>
      <c r="D76" t="str">
        <f t="shared" si="2"/>
        <v>BR-251/MG-3 Faixa-318,1</v>
      </c>
      <c r="E76" t="s">
        <v>76</v>
      </c>
      <c r="F76" t="s">
        <v>49</v>
      </c>
      <c r="G76">
        <v>318.10000000000002</v>
      </c>
      <c r="H76" s="1">
        <v>321.10000000000002</v>
      </c>
      <c r="I76" s="1">
        <f t="shared" si="3"/>
        <v>3</v>
      </c>
      <c r="J76">
        <v>3</v>
      </c>
      <c r="K76">
        <v>3</v>
      </c>
      <c r="L76" t="s">
        <v>109</v>
      </c>
      <c r="M76" s="2">
        <v>64223145.732816324</v>
      </c>
    </row>
    <row r="77" spans="1:13" x14ac:dyDescent="0.3">
      <c r="A77" t="s">
        <v>103</v>
      </c>
      <c r="B77" t="s">
        <v>119</v>
      </c>
      <c r="C77" t="s">
        <v>117</v>
      </c>
      <c r="D77" t="str">
        <f t="shared" si="2"/>
        <v>BR-251/MG-3 Faixa-322</v>
      </c>
      <c r="E77" t="s">
        <v>77</v>
      </c>
      <c r="F77" t="s">
        <v>49</v>
      </c>
      <c r="G77">
        <v>322</v>
      </c>
      <c r="H77" s="1">
        <v>326.20000000000005</v>
      </c>
      <c r="I77" s="1">
        <f t="shared" si="3"/>
        <v>4.2000000000000455</v>
      </c>
      <c r="J77">
        <v>10</v>
      </c>
      <c r="K77">
        <v>10</v>
      </c>
      <c r="L77" t="s">
        <v>109</v>
      </c>
      <c r="M77" s="2">
        <v>7961366.6353413984</v>
      </c>
    </row>
    <row r="78" spans="1:13" x14ac:dyDescent="0.3">
      <c r="A78" t="s">
        <v>103</v>
      </c>
      <c r="B78" t="s">
        <v>119</v>
      </c>
      <c r="C78" t="s">
        <v>117</v>
      </c>
      <c r="D78" t="str">
        <f t="shared" si="2"/>
        <v>BR-251/MG-3 Faixa-329,2</v>
      </c>
      <c r="E78" t="s">
        <v>78</v>
      </c>
      <c r="F78" t="s">
        <v>49</v>
      </c>
      <c r="G78">
        <v>329.20000000000005</v>
      </c>
      <c r="H78" s="1">
        <v>330.5</v>
      </c>
      <c r="I78" s="1">
        <f t="shared" si="3"/>
        <v>1.2999999999999545</v>
      </c>
      <c r="J78">
        <v>10</v>
      </c>
      <c r="K78">
        <v>10</v>
      </c>
      <c r="L78" t="s">
        <v>109</v>
      </c>
      <c r="M78" s="2">
        <v>5869712.0402547847</v>
      </c>
    </row>
    <row r="79" spans="1:13" x14ac:dyDescent="0.3">
      <c r="A79" t="s">
        <v>103</v>
      </c>
      <c r="B79" t="s">
        <v>119</v>
      </c>
      <c r="C79" t="s">
        <v>117</v>
      </c>
      <c r="D79" t="str">
        <f t="shared" si="2"/>
        <v>BR-251/MG-3 Faixa-333</v>
      </c>
      <c r="E79" t="s">
        <v>79</v>
      </c>
      <c r="F79" t="s">
        <v>49</v>
      </c>
      <c r="G79">
        <v>333</v>
      </c>
      <c r="H79" s="1">
        <v>340.1</v>
      </c>
      <c r="I79" s="1">
        <f t="shared" si="3"/>
        <v>7.1000000000000227</v>
      </c>
      <c r="J79">
        <v>10</v>
      </c>
      <c r="K79">
        <v>10</v>
      </c>
      <c r="L79" t="s">
        <v>109</v>
      </c>
      <c r="M79" s="2">
        <v>10650137.722077724</v>
      </c>
    </row>
    <row r="80" spans="1:13" x14ac:dyDescent="0.3">
      <c r="A80" t="s">
        <v>103</v>
      </c>
      <c r="B80" t="s">
        <v>119</v>
      </c>
      <c r="C80" t="s">
        <v>117</v>
      </c>
      <c r="D80" t="str">
        <f t="shared" si="2"/>
        <v>BR-251/MG-3 Faixa-339,2</v>
      </c>
      <c r="E80" t="s">
        <v>80</v>
      </c>
      <c r="F80" t="s">
        <v>49</v>
      </c>
      <c r="G80">
        <v>339.2</v>
      </c>
      <c r="H80" s="1">
        <v>345.20000000000005</v>
      </c>
      <c r="I80" s="1">
        <f t="shared" si="3"/>
        <v>6.0000000000000568</v>
      </c>
      <c r="J80">
        <v>10</v>
      </c>
      <c r="K80">
        <v>10</v>
      </c>
      <c r="L80" t="s">
        <v>109</v>
      </c>
      <c r="M80" s="2">
        <v>4775527.5343014216</v>
      </c>
    </row>
    <row r="81" spans="1:13" x14ac:dyDescent="0.3">
      <c r="A81" t="s">
        <v>103</v>
      </c>
      <c r="B81" t="s">
        <v>119</v>
      </c>
      <c r="C81" t="s">
        <v>117</v>
      </c>
      <c r="D81" t="str">
        <f t="shared" si="2"/>
        <v>BR-251/MG-3 Faixa-345,2</v>
      </c>
      <c r="E81" t="s">
        <v>81</v>
      </c>
      <c r="F81" t="s">
        <v>49</v>
      </c>
      <c r="G81">
        <v>345.20000000000005</v>
      </c>
      <c r="H81" s="1">
        <v>347.6</v>
      </c>
      <c r="I81" s="1">
        <f t="shared" si="3"/>
        <v>2.3999999999999773</v>
      </c>
      <c r="J81">
        <v>10</v>
      </c>
      <c r="K81">
        <v>10</v>
      </c>
      <c r="L81" t="s">
        <v>109</v>
      </c>
      <c r="M81" s="2">
        <v>7891033.8683248218</v>
      </c>
    </row>
    <row r="82" spans="1:13" x14ac:dyDescent="0.3">
      <c r="A82" t="s">
        <v>103</v>
      </c>
      <c r="B82" t="s">
        <v>119</v>
      </c>
      <c r="C82" t="s">
        <v>117</v>
      </c>
      <c r="D82" t="str">
        <f t="shared" si="2"/>
        <v>BR-251/MG-3 Faixa-348,9</v>
      </c>
      <c r="E82" t="s">
        <v>82</v>
      </c>
      <c r="F82" t="s">
        <v>49</v>
      </c>
      <c r="G82">
        <v>348.90000000000003</v>
      </c>
      <c r="H82" s="1">
        <v>352.70000000000005</v>
      </c>
      <c r="I82" s="1">
        <f t="shared" si="3"/>
        <v>3.8000000000000114</v>
      </c>
      <c r="J82">
        <v>10</v>
      </c>
      <c r="K82">
        <v>10</v>
      </c>
      <c r="L82" t="s">
        <v>109</v>
      </c>
      <c r="M82" s="2">
        <v>4965580.2281997921</v>
      </c>
    </row>
    <row r="83" spans="1:13" x14ac:dyDescent="0.3">
      <c r="A83" t="s">
        <v>103</v>
      </c>
      <c r="B83" t="s">
        <v>119</v>
      </c>
      <c r="C83" t="s">
        <v>117</v>
      </c>
      <c r="D83" t="str">
        <f t="shared" si="2"/>
        <v>BR-251/MG-3 Faixa-352,1</v>
      </c>
      <c r="E83" t="s">
        <v>83</v>
      </c>
      <c r="F83" t="s">
        <v>49</v>
      </c>
      <c r="G83">
        <v>352.1</v>
      </c>
      <c r="H83" s="1">
        <v>353.7</v>
      </c>
      <c r="I83" s="1">
        <f t="shared" si="3"/>
        <v>1.5999999999999659</v>
      </c>
      <c r="J83">
        <v>10</v>
      </c>
      <c r="K83">
        <v>10</v>
      </c>
      <c r="L83" t="s">
        <v>109</v>
      </c>
      <c r="M83" s="2">
        <v>6386367.7080166312</v>
      </c>
    </row>
    <row r="84" spans="1:13" x14ac:dyDescent="0.3">
      <c r="A84" t="s">
        <v>103</v>
      </c>
      <c r="B84" t="s">
        <v>119</v>
      </c>
      <c r="C84" t="s">
        <v>117</v>
      </c>
      <c r="D84" t="str">
        <f t="shared" si="2"/>
        <v>BR-251/MG-3 Faixa-353,7</v>
      </c>
      <c r="E84" t="s">
        <v>84</v>
      </c>
      <c r="F84" t="s">
        <v>49</v>
      </c>
      <c r="G84">
        <v>353.7</v>
      </c>
      <c r="H84" s="1">
        <v>355.1</v>
      </c>
      <c r="I84" s="1">
        <f t="shared" si="3"/>
        <v>1.4000000000000341</v>
      </c>
      <c r="J84">
        <v>10</v>
      </c>
      <c r="K84">
        <v>10</v>
      </c>
      <c r="L84" t="s">
        <v>109</v>
      </c>
      <c r="M84" s="2">
        <v>13138176.570843376</v>
      </c>
    </row>
    <row r="85" spans="1:13" x14ac:dyDescent="0.3">
      <c r="A85" t="s">
        <v>103</v>
      </c>
      <c r="B85" t="s">
        <v>119</v>
      </c>
      <c r="C85" t="s">
        <v>117</v>
      </c>
      <c r="D85" t="str">
        <f t="shared" si="2"/>
        <v>BR-251/MG-3 Faixa-358,7</v>
      </c>
      <c r="E85" t="s">
        <v>85</v>
      </c>
      <c r="F85" t="s">
        <v>49</v>
      </c>
      <c r="G85">
        <v>358.7</v>
      </c>
      <c r="H85" s="1">
        <v>361.3</v>
      </c>
      <c r="I85" s="1">
        <f t="shared" si="3"/>
        <v>2.6000000000000227</v>
      </c>
      <c r="J85">
        <v>10</v>
      </c>
      <c r="K85">
        <v>10</v>
      </c>
      <c r="L85" t="s">
        <v>109</v>
      </c>
      <c r="M85" s="2">
        <v>9710224.3263814375</v>
      </c>
    </row>
    <row r="86" spans="1:13" x14ac:dyDescent="0.3">
      <c r="A86" t="s">
        <v>103</v>
      </c>
      <c r="B86" t="s">
        <v>119</v>
      </c>
      <c r="C86" t="s">
        <v>117</v>
      </c>
      <c r="D86" t="str">
        <f t="shared" si="2"/>
        <v>BR-251/MG-3 Faixa-377</v>
      </c>
      <c r="E86" t="s">
        <v>86</v>
      </c>
      <c r="F86" t="s">
        <v>49</v>
      </c>
      <c r="G86">
        <v>377</v>
      </c>
      <c r="H86" s="1">
        <v>378.6</v>
      </c>
      <c r="I86" s="1">
        <f t="shared" si="3"/>
        <v>1.6000000000000227</v>
      </c>
      <c r="J86">
        <v>10</v>
      </c>
      <c r="K86">
        <v>10</v>
      </c>
      <c r="L86" t="s">
        <v>109</v>
      </c>
      <c r="M86" s="2">
        <v>4855016.8815629063</v>
      </c>
    </row>
    <row r="87" spans="1:13" x14ac:dyDescent="0.3">
      <c r="A87" t="s">
        <v>103</v>
      </c>
      <c r="B87" t="s">
        <v>119</v>
      </c>
      <c r="C87" t="s">
        <v>117</v>
      </c>
      <c r="D87" t="str">
        <f t="shared" si="2"/>
        <v>BR-251/MG-3 Faixa-382,4</v>
      </c>
      <c r="E87" t="s">
        <v>87</v>
      </c>
      <c r="F87" t="s">
        <v>49</v>
      </c>
      <c r="G87">
        <v>382.4</v>
      </c>
      <c r="H87" s="1">
        <v>384</v>
      </c>
      <c r="I87" s="1">
        <f t="shared" si="3"/>
        <v>1.6000000000000227</v>
      </c>
      <c r="J87">
        <v>9</v>
      </c>
      <c r="K87">
        <v>9</v>
      </c>
      <c r="L87" t="s">
        <v>109</v>
      </c>
      <c r="M87" s="2">
        <v>3910186.0662649954</v>
      </c>
    </row>
    <row r="88" spans="1:13" x14ac:dyDescent="0.3">
      <c r="A88" t="s">
        <v>103</v>
      </c>
      <c r="B88" t="s">
        <v>119</v>
      </c>
      <c r="C88" t="s">
        <v>117</v>
      </c>
      <c r="D88" t="str">
        <f t="shared" si="2"/>
        <v>BR-251/MG-3 Faixa-388,9</v>
      </c>
      <c r="E88" t="s">
        <v>88</v>
      </c>
      <c r="F88" t="s">
        <v>49</v>
      </c>
      <c r="G88">
        <v>388.9</v>
      </c>
      <c r="H88" s="1">
        <v>390.5</v>
      </c>
      <c r="I88" s="1">
        <f t="shared" si="3"/>
        <v>1.6000000000000227</v>
      </c>
      <c r="J88">
        <v>9</v>
      </c>
      <c r="K88">
        <v>9</v>
      </c>
      <c r="L88" t="s">
        <v>109</v>
      </c>
      <c r="M88" s="2">
        <v>4714817.6721756049</v>
      </c>
    </row>
    <row r="89" spans="1:13" x14ac:dyDescent="0.3">
      <c r="A89" t="s">
        <v>103</v>
      </c>
      <c r="B89" t="s">
        <v>119</v>
      </c>
      <c r="C89" t="s">
        <v>117</v>
      </c>
      <c r="D89" t="str">
        <f t="shared" si="2"/>
        <v>BR-251/MG-3 Faixa-390,4</v>
      </c>
      <c r="E89" t="s">
        <v>89</v>
      </c>
      <c r="F89" t="s">
        <v>49</v>
      </c>
      <c r="G89">
        <v>390.4</v>
      </c>
      <c r="H89" s="1">
        <v>392</v>
      </c>
      <c r="I89" s="1">
        <f t="shared" si="3"/>
        <v>1.6000000000000227</v>
      </c>
      <c r="J89">
        <v>9</v>
      </c>
      <c r="K89">
        <v>9</v>
      </c>
      <c r="L89" t="s">
        <v>109</v>
      </c>
      <c r="M89" s="2">
        <v>4345333.7754460862</v>
      </c>
    </row>
    <row r="90" spans="1:13" x14ac:dyDescent="0.3">
      <c r="A90" t="s">
        <v>103</v>
      </c>
      <c r="B90" t="s">
        <v>119</v>
      </c>
      <c r="C90" t="s">
        <v>117</v>
      </c>
      <c r="D90" t="str">
        <f t="shared" si="2"/>
        <v>BR-251/MG-3 Faixa-396</v>
      </c>
      <c r="E90" t="s">
        <v>90</v>
      </c>
      <c r="F90" t="s">
        <v>49</v>
      </c>
      <c r="G90">
        <v>396</v>
      </c>
      <c r="H90" s="1">
        <v>398.8</v>
      </c>
      <c r="I90" s="1">
        <f t="shared" si="3"/>
        <v>2.8000000000000114</v>
      </c>
      <c r="J90">
        <v>9</v>
      </c>
      <c r="K90">
        <v>9</v>
      </c>
      <c r="L90" t="s">
        <v>109</v>
      </c>
      <c r="M90" s="2">
        <v>2774881.7623732993</v>
      </c>
    </row>
    <row r="91" spans="1:13" x14ac:dyDescent="0.3">
      <c r="A91" t="s">
        <v>103</v>
      </c>
      <c r="B91" t="s">
        <v>119</v>
      </c>
      <c r="C91" t="s">
        <v>117</v>
      </c>
      <c r="D91" t="str">
        <f t="shared" si="2"/>
        <v>BR-251/MG-3 Faixa-399,9</v>
      </c>
      <c r="E91" t="s">
        <v>91</v>
      </c>
      <c r="F91" t="s">
        <v>49</v>
      </c>
      <c r="G91">
        <v>399.9</v>
      </c>
      <c r="H91" s="1">
        <v>401.5</v>
      </c>
      <c r="I91" s="1">
        <f t="shared" si="3"/>
        <v>1.6000000000000227</v>
      </c>
      <c r="J91">
        <v>9</v>
      </c>
      <c r="K91">
        <v>9</v>
      </c>
      <c r="L91" t="s">
        <v>109</v>
      </c>
      <c r="M91" s="2">
        <v>5780163.5006002085</v>
      </c>
    </row>
    <row r="92" spans="1:13" x14ac:dyDescent="0.3">
      <c r="A92" t="s">
        <v>103</v>
      </c>
      <c r="B92" t="s">
        <v>119</v>
      </c>
      <c r="C92" t="s">
        <v>117</v>
      </c>
      <c r="D92" t="str">
        <f t="shared" si="2"/>
        <v>BR-251/MG-3 Faixa-404,4</v>
      </c>
      <c r="E92" t="s">
        <v>92</v>
      </c>
      <c r="F92" t="s">
        <v>49</v>
      </c>
      <c r="G92">
        <v>404.4</v>
      </c>
      <c r="H92" s="1">
        <v>406.2</v>
      </c>
      <c r="I92" s="1">
        <f t="shared" si="3"/>
        <v>1.8000000000000114</v>
      </c>
      <c r="J92">
        <v>9</v>
      </c>
      <c r="K92">
        <v>9</v>
      </c>
      <c r="L92" t="s">
        <v>109</v>
      </c>
      <c r="M92" s="2">
        <v>2610152.6593478192</v>
      </c>
    </row>
    <row r="93" spans="1:13" x14ac:dyDescent="0.3">
      <c r="A93" t="s">
        <v>103</v>
      </c>
      <c r="B93" t="s">
        <v>119</v>
      </c>
      <c r="C93" t="s">
        <v>117</v>
      </c>
      <c r="D93" t="str">
        <f t="shared" si="2"/>
        <v>BR-251/MG-3 Faixa-410,1</v>
      </c>
      <c r="E93" t="s">
        <v>93</v>
      </c>
      <c r="F93" t="s">
        <v>49</v>
      </c>
      <c r="G93">
        <v>410.1</v>
      </c>
      <c r="H93" s="1">
        <v>412</v>
      </c>
      <c r="I93" s="1">
        <f t="shared" si="3"/>
        <v>1.8999999999999773</v>
      </c>
      <c r="J93">
        <v>9</v>
      </c>
      <c r="K93">
        <v>9</v>
      </c>
      <c r="L93" t="s">
        <v>109</v>
      </c>
      <c r="M93" s="2">
        <v>3033476.4372246251</v>
      </c>
    </row>
    <row r="94" spans="1:13" x14ac:dyDescent="0.3">
      <c r="A94" t="s">
        <v>103</v>
      </c>
      <c r="B94" t="s">
        <v>119</v>
      </c>
      <c r="C94" t="s">
        <v>117</v>
      </c>
      <c r="D94" t="str">
        <f t="shared" si="2"/>
        <v>BR-251/MG-3 Faixa-412,1</v>
      </c>
      <c r="E94" t="s">
        <v>94</v>
      </c>
      <c r="F94" t="s">
        <v>49</v>
      </c>
      <c r="G94">
        <v>412.1</v>
      </c>
      <c r="H94" s="1">
        <v>413.6</v>
      </c>
      <c r="I94" s="1">
        <f t="shared" si="3"/>
        <v>1.5</v>
      </c>
      <c r="J94">
        <v>9</v>
      </c>
      <c r="K94">
        <v>9</v>
      </c>
      <c r="L94" t="s">
        <v>109</v>
      </c>
      <c r="M94" s="2">
        <v>4822322.0326241869</v>
      </c>
    </row>
    <row r="95" spans="1:13" x14ac:dyDescent="0.3">
      <c r="A95" t="s">
        <v>103</v>
      </c>
      <c r="B95" t="s">
        <v>119</v>
      </c>
      <c r="C95" t="s">
        <v>117</v>
      </c>
      <c r="D95" t="str">
        <f t="shared" si="2"/>
        <v>BR-251/MG-3 Faixa-422,5</v>
      </c>
      <c r="E95" t="s">
        <v>95</v>
      </c>
      <c r="F95" t="s">
        <v>49</v>
      </c>
      <c r="G95">
        <v>422.5</v>
      </c>
      <c r="H95" s="1">
        <v>424.7</v>
      </c>
      <c r="I95" s="1">
        <f t="shared" si="3"/>
        <v>2.1999999999999886</v>
      </c>
      <c r="J95">
        <v>9</v>
      </c>
      <c r="K95">
        <v>9</v>
      </c>
      <c r="L95" t="s">
        <v>109</v>
      </c>
      <c r="M95" s="2">
        <v>24176367.95377877</v>
      </c>
    </row>
    <row r="96" spans="1:13" x14ac:dyDescent="0.3">
      <c r="A96" t="s">
        <v>103</v>
      </c>
      <c r="B96" t="s">
        <v>119</v>
      </c>
      <c r="C96" t="s">
        <v>117</v>
      </c>
      <c r="D96" t="str">
        <f t="shared" si="2"/>
        <v>BR-251/MG-3 Faixa-427,2</v>
      </c>
      <c r="E96" t="s">
        <v>96</v>
      </c>
      <c r="F96" t="s">
        <v>49</v>
      </c>
      <c r="G96">
        <v>427.2</v>
      </c>
      <c r="H96" s="1">
        <v>429.4</v>
      </c>
      <c r="I96" s="1">
        <f t="shared" si="3"/>
        <v>2.1999999999999886</v>
      </c>
      <c r="J96">
        <v>9</v>
      </c>
      <c r="K96">
        <v>9</v>
      </c>
      <c r="L96" t="s">
        <v>109</v>
      </c>
      <c r="M96" s="2">
        <v>21809801.260057304</v>
      </c>
    </row>
    <row r="97" spans="1:13" x14ac:dyDescent="0.3">
      <c r="A97" t="s">
        <v>103</v>
      </c>
      <c r="B97" t="s">
        <v>119</v>
      </c>
      <c r="C97" t="s">
        <v>117</v>
      </c>
      <c r="D97" t="str">
        <f t="shared" si="2"/>
        <v>BR-251/MG-3 Faixa-429,1</v>
      </c>
      <c r="E97" t="s">
        <v>97</v>
      </c>
      <c r="F97" t="s">
        <v>49</v>
      </c>
      <c r="G97">
        <v>429.1</v>
      </c>
      <c r="H97" s="1">
        <v>430.8</v>
      </c>
      <c r="I97" s="1">
        <f t="shared" si="3"/>
        <v>1.6999999999999886</v>
      </c>
      <c r="J97">
        <v>8</v>
      </c>
      <c r="K97">
        <v>9</v>
      </c>
      <c r="L97" t="s">
        <v>109</v>
      </c>
      <c r="M97" s="2">
        <v>33349175.491847873</v>
      </c>
    </row>
    <row r="98" spans="1:13" x14ac:dyDescent="0.3">
      <c r="A98" t="s">
        <v>103</v>
      </c>
      <c r="B98" t="s">
        <v>119</v>
      </c>
      <c r="C98" t="s">
        <v>117</v>
      </c>
      <c r="D98" t="str">
        <f t="shared" si="2"/>
        <v>BR-251/MG-3 Faixa-430,7</v>
      </c>
      <c r="E98" t="s">
        <v>98</v>
      </c>
      <c r="F98" t="s">
        <v>49</v>
      </c>
      <c r="G98">
        <v>430.7</v>
      </c>
      <c r="H98" s="1">
        <v>437.3</v>
      </c>
      <c r="I98" s="1">
        <f t="shared" si="3"/>
        <v>6.6000000000000227</v>
      </c>
      <c r="J98">
        <v>8</v>
      </c>
      <c r="K98">
        <v>8</v>
      </c>
      <c r="L98" t="s">
        <v>109</v>
      </c>
      <c r="M98" s="2">
        <v>8835351.0828203913</v>
      </c>
    </row>
    <row r="99" spans="1:13" x14ac:dyDescent="0.3">
      <c r="A99" t="s">
        <v>103</v>
      </c>
      <c r="B99" t="s">
        <v>119</v>
      </c>
      <c r="C99" t="s">
        <v>117</v>
      </c>
      <c r="D99" t="str">
        <f t="shared" si="2"/>
        <v>BR-251/MG-3 Faixa-436,9</v>
      </c>
      <c r="E99" t="s">
        <v>99</v>
      </c>
      <c r="F99" t="s">
        <v>49</v>
      </c>
      <c r="G99">
        <v>436.90000000000003</v>
      </c>
      <c r="H99" s="1">
        <v>437.3</v>
      </c>
      <c r="I99" s="1">
        <f t="shared" si="3"/>
        <v>0.39999999999997726</v>
      </c>
      <c r="J99">
        <v>8</v>
      </c>
      <c r="K99">
        <v>8</v>
      </c>
      <c r="L99" t="s">
        <v>109</v>
      </c>
      <c r="M99" s="2">
        <v>8857423.2328592632</v>
      </c>
    </row>
    <row r="100" spans="1:13" x14ac:dyDescent="0.3">
      <c r="A100" t="s">
        <v>103</v>
      </c>
      <c r="B100" t="s">
        <v>119</v>
      </c>
      <c r="C100" t="s">
        <v>117</v>
      </c>
      <c r="D100" t="str">
        <f t="shared" si="2"/>
        <v>BR-251/MG-3 Faixa-437,2</v>
      </c>
      <c r="E100" t="s">
        <v>100</v>
      </c>
      <c r="F100" t="s">
        <v>49</v>
      </c>
      <c r="G100">
        <v>437.2</v>
      </c>
      <c r="H100" s="1">
        <v>442.7</v>
      </c>
      <c r="I100" s="1">
        <f t="shared" si="3"/>
        <v>5.5</v>
      </c>
      <c r="J100">
        <v>8</v>
      </c>
      <c r="K100">
        <v>8</v>
      </c>
      <c r="L100" t="s">
        <v>109</v>
      </c>
      <c r="M100" s="2">
        <v>6031381.6008525426</v>
      </c>
    </row>
    <row r="101" spans="1:13" x14ac:dyDescent="0.3">
      <c r="A101" t="s">
        <v>103</v>
      </c>
      <c r="B101" t="s">
        <v>119</v>
      </c>
      <c r="C101" t="s">
        <v>117</v>
      </c>
      <c r="D101" t="str">
        <f t="shared" si="2"/>
        <v>BR-251/MG-3 Faixa-445,7</v>
      </c>
      <c r="E101" t="s">
        <v>101</v>
      </c>
      <c r="F101" t="s">
        <v>49</v>
      </c>
      <c r="G101">
        <v>445.7</v>
      </c>
      <c r="H101" s="1">
        <v>450.8</v>
      </c>
      <c r="I101" s="1">
        <f t="shared" si="3"/>
        <v>5.1000000000000227</v>
      </c>
      <c r="J101">
        <v>8</v>
      </c>
      <c r="K101">
        <v>8</v>
      </c>
      <c r="L101" t="s">
        <v>109</v>
      </c>
      <c r="M101" s="2">
        <v>5432836.7154482407</v>
      </c>
    </row>
    <row r="102" spans="1:13" x14ac:dyDescent="0.3">
      <c r="A102" t="s">
        <v>103</v>
      </c>
      <c r="B102" t="s">
        <v>119</v>
      </c>
      <c r="C102" t="s">
        <v>117</v>
      </c>
      <c r="D102" t="str">
        <f t="shared" si="2"/>
        <v>BR-251/MG-3 Faixa-489,6</v>
      </c>
      <c r="E102" t="s">
        <v>102</v>
      </c>
      <c r="F102" t="s">
        <v>49</v>
      </c>
      <c r="G102">
        <v>489.6</v>
      </c>
      <c r="H102" s="1">
        <v>492.7</v>
      </c>
      <c r="I102" s="1">
        <f t="shared" si="3"/>
        <v>3.0999999999999659</v>
      </c>
      <c r="J102">
        <v>8</v>
      </c>
      <c r="K102">
        <v>8</v>
      </c>
      <c r="L102" t="s">
        <v>109</v>
      </c>
      <c r="M102" s="2">
        <v>3522071.1951579065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Ernane Rocha</dc:creator>
  <cp:lastModifiedBy>Ernane Rocha</cp:lastModifiedBy>
  <dcterms:created xsi:type="dcterms:W3CDTF">2026-02-18T22:06:44Z</dcterms:created>
  <dcterms:modified xsi:type="dcterms:W3CDTF">2026-02-19T03:10:02Z</dcterms:modified>
</cp:coreProperties>
</file>